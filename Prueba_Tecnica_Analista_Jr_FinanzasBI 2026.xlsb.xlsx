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laci\AppData\Local\Temp\MicrosoftEdgeDownloads\06f649e3-2778-4d39-8cd0-dd6df57b9e4f\"/>
    </mc:Choice>
  </mc:AlternateContent>
  <xr:revisionPtr revIDLastSave="0" documentId="8_{DF944892-B062-4D71-83D5-590A38494768}" xr6:coauthVersionLast="47" xr6:coauthVersionMax="47" xr10:uidLastSave="{00000000-0000-0000-0000-000000000000}"/>
  <bookViews>
    <workbookView xWindow="-108" yWindow="-108" windowWidth="23256" windowHeight="12456" activeTab="3" xr2:uid="{00000000-000D-0000-FFFF-FFFF00000000}"/>
  </bookViews>
  <sheets>
    <sheet name="Dataset" sheetId="1" r:id="rId1"/>
    <sheet name="Ejercicios" sheetId="2" r:id="rId2"/>
    <sheet name="Tabla dinamica" sheetId="4" r:id="rId3"/>
    <sheet name="GRAFICAS" sheetId="8" r:id="rId4"/>
    <sheet name="Prueba Power BI" sheetId="3"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2" l="1"/>
  <c r="C33" i="2"/>
  <c r="D38" i="2" a="1"/>
  <c r="D38" i="2" s="1"/>
  <c r="C38" i="2" a="1"/>
  <c r="C38" i="2" s="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5" i="1"/>
  <c r="B38" i="2"/>
  <c r="C37" i="2" a="1"/>
  <c r="C37" i="2" s="1"/>
  <c r="B19" i="2"/>
  <c r="B20" i="2"/>
  <c r="B21" i="2"/>
  <c r="B22" i="2"/>
  <c r="B23" i="2"/>
  <c r="G10" i="2"/>
  <c r="G9" i="2"/>
  <c r="G15" i="2"/>
  <c r="G14" i="2"/>
  <c r="G8" i="2"/>
  <c r="G7" i="2"/>
  <c r="G6" i="2"/>
  <c r="B37" i="2"/>
  <c r="B36" i="2"/>
  <c r="B35" i="2"/>
  <c r="C36" i="2" l="1"/>
  <c r="C34" i="2"/>
  <c r="C35" i="2" s="1"/>
  <c r="B24" i="2"/>
  <c r="C23" i="2" s="1"/>
  <c r="C19" i="2" l="1"/>
  <c r="C24" i="2"/>
  <c r="C20" i="2"/>
  <c r="C21" i="2"/>
  <c r="C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<sst xmlns="http://schemas.openxmlformats.org/spreadsheetml/2006/main" count="388" uniqueCount="187">
  <si>
    <t>Este archivo contiene datos ficticios de ventas de Motores Modernos S.A. para el año 2024. Utiliza este dataset en la hoja 'Ejercicios' para completar los ejercicios solicitados. NO modifiques los datos de esta hoja.</t>
  </si>
  <si>
    <t>ID Venta</t>
  </si>
  <si>
    <t>Fecha</t>
  </si>
  <si>
    <t>Región</t>
  </si>
  <si>
    <t>Vendedor</t>
  </si>
  <si>
    <t>Producto</t>
  </si>
  <si>
    <t>Unidades Vendidas</t>
  </si>
  <si>
    <t>Precio Unit. ($)</t>
  </si>
  <si>
    <t>Costo Unit. ($)</t>
  </si>
  <si>
    <t>V-001</t>
  </si>
  <si>
    <t>Ciudad de Panamá</t>
  </si>
  <si>
    <t>Laura Torres</t>
  </si>
  <si>
    <t>Hyundai Tucson</t>
  </si>
  <si>
    <t>V-002</t>
  </si>
  <si>
    <t>Sofía Castillo</t>
  </si>
  <si>
    <t>Toyota Corolla</t>
  </si>
  <si>
    <t>V-003</t>
  </si>
  <si>
    <t>Ana Rodríguez</t>
  </si>
  <si>
    <t>V-004</t>
  </si>
  <si>
    <t>V-005</t>
  </si>
  <si>
    <t>Herrera</t>
  </si>
  <si>
    <t>Kia Sportage</t>
  </si>
  <si>
    <t>V-006</t>
  </si>
  <si>
    <t>V-007</t>
  </si>
  <si>
    <t>Colón</t>
  </si>
  <si>
    <t>V-008</t>
  </si>
  <si>
    <t>V-009</t>
  </si>
  <si>
    <t>Veraguas</t>
  </si>
  <si>
    <t>Mazda CX-5</t>
  </si>
  <si>
    <t>V-010</t>
  </si>
  <si>
    <t>Suzuki Swift</t>
  </si>
  <si>
    <t>V-011</t>
  </si>
  <si>
    <t>Carlos Méndez</t>
  </si>
  <si>
    <t>V-012</t>
  </si>
  <si>
    <t>Miguel Ureña</t>
  </si>
  <si>
    <t>V-013</t>
  </si>
  <si>
    <t>V-014</t>
  </si>
  <si>
    <t>V-015</t>
  </si>
  <si>
    <t>Chiriquí</t>
  </si>
  <si>
    <t>V-016</t>
  </si>
  <si>
    <t>V-017</t>
  </si>
  <si>
    <t>V-018</t>
  </si>
  <si>
    <t>V-019</t>
  </si>
  <si>
    <t>V-020</t>
  </si>
  <si>
    <t>V-021</t>
  </si>
  <si>
    <t>V-022</t>
  </si>
  <si>
    <t>V-023</t>
  </si>
  <si>
    <t>V-024</t>
  </si>
  <si>
    <t>V-025</t>
  </si>
  <si>
    <t>V-026</t>
  </si>
  <si>
    <t>V-027</t>
  </si>
  <si>
    <t>V-028</t>
  </si>
  <si>
    <t>V-029</t>
  </si>
  <si>
    <t>V-030</t>
  </si>
  <si>
    <t>V-031</t>
  </si>
  <si>
    <t>V-032</t>
  </si>
  <si>
    <t>V-033</t>
  </si>
  <si>
    <t>V-034</t>
  </si>
  <si>
    <t>V-035</t>
  </si>
  <si>
    <t>V-036</t>
  </si>
  <si>
    <t>V-037</t>
  </si>
  <si>
    <t>V-038</t>
  </si>
  <si>
    <t>V-039</t>
  </si>
  <si>
    <t>V-040</t>
  </si>
  <si>
    <t>V-041</t>
  </si>
  <si>
    <t>V-042</t>
  </si>
  <si>
    <t>V-043</t>
  </si>
  <si>
    <t>V-044</t>
  </si>
  <si>
    <t>V-045</t>
  </si>
  <si>
    <t>V-046</t>
  </si>
  <si>
    <t>V-047</t>
  </si>
  <si>
    <t>V-048</t>
  </si>
  <si>
    <t>V-049</t>
  </si>
  <si>
    <t>V-050</t>
  </si>
  <si>
    <t>V-051</t>
  </si>
  <si>
    <t>V-052</t>
  </si>
  <si>
    <t>V-053</t>
  </si>
  <si>
    <t>V-054</t>
  </si>
  <si>
    <t>V-055</t>
  </si>
  <si>
    <t>V-056</t>
  </si>
  <si>
    <t>V-057</t>
  </si>
  <si>
    <t>V-058</t>
  </si>
  <si>
    <t>V-059</t>
  </si>
  <si>
    <t>V-060</t>
  </si>
  <si>
    <t>PRUEBA TÉCNICA – ANALISTA JR. DE FINANZAS Y BUSINESS INTELLIGENCE</t>
  </si>
  <si>
    <t>Instrucciones: Utiliza los datos del dataset en la hoja 'Dataset' para responder cada ejercicio. Escribe tus fórmulas directamente en las celdas amarillas. No borres el contenido de las celdas grises.</t>
  </si>
  <si>
    <t>SECCIÓN 1 – Fórmulas y Funciones Básicas</t>
  </si>
  <si>
    <t>1.1</t>
  </si>
  <si>
    <t>Calcula el TOTAL de unidades vendidas en todo el año 2024.</t>
  </si>
  <si>
    <t>1.2</t>
  </si>
  <si>
    <t>Calcula el PROMEDIO del precio unitario de todos los productos.</t>
  </si>
  <si>
    <t>1.3</t>
  </si>
  <si>
    <t>¿Cuántas ventas se realizaron en la región 'Ciudad de Panamá'? (usa COUNTIF)</t>
  </si>
  <si>
    <t>1.4</t>
  </si>
  <si>
    <t>¿Cuál fue el MONTO TOTAL de ventas? (Unidades × Precio Unit.) Usa SUMPRODUCT.</t>
  </si>
  <si>
    <t>1.5</t>
  </si>
  <si>
    <t>¿Cuántas ventas tienen un Precio Unit. mayor a $25,000? (usa COUNTIF)</t>
  </si>
  <si>
    <t>SECCIÓN 2 – Análisis con SUMIF / VLOOKUP / Tablas Dinámicas</t>
  </si>
  <si>
    <t>Parte A – Fórmulas</t>
  </si>
  <si>
    <t>2.1</t>
  </si>
  <si>
    <t>Calcula el total de ventas ($) generado por el vendedor 'Carlos Méndez'. Usa SUMIF.</t>
  </si>
  <si>
    <t>2.2</t>
  </si>
  <si>
    <t>¿Cuántas unidades se vendieron del producto 'Toyota Corolla'? Usa SUMIF.</t>
  </si>
  <si>
    <t>2.3</t>
  </si>
  <si>
    <t>Crea una tabla resumen (debajo) con el total de ventas ($) por región usando SUMIF para cada región.</t>
  </si>
  <si>
    <t>Ver filas 18-22</t>
  </si>
  <si>
    <t>Tabla Resumen – Ventas Totales por Región</t>
  </si>
  <si>
    <t>% del Total</t>
  </si>
  <si>
    <t>TOTAL</t>
  </si>
  <si>
    <t>Parte B – Tabla Dinámica</t>
  </si>
  <si>
    <t>2.4  Crea una Tabla Dinámica en una nueva hoja llamada 'Tabla Dinámica' que muestre: Filas = Producto, Columnas = Región, Valores = Suma de (Unidades × Precio Unit.). Aplica formato de número con separador de miles.</t>
  </si>
  <si>
    <t>SECCIÓN 3 – Análisis Financiero: Rentabilidad y KPIs</t>
  </si>
  <si>
    <t>Usa el dataset para calcular los siguientes indicadores. Completa la tabla:</t>
  </si>
  <si>
    <t>KPI</t>
  </si>
  <si>
    <t>Fórmula / Descripción</t>
  </si>
  <si>
    <t>Resultado</t>
  </si>
  <si>
    <t>Ingreso Total ($)</t>
  </si>
  <si>
    <t>Costo Total ($)</t>
  </si>
  <si>
    <t>Utilidad Bruta ($)</t>
  </si>
  <si>
    <t>Margen Bruto (%)</t>
  </si>
  <si>
    <t>Ticket Promedio ($)</t>
  </si>
  <si>
    <t>Producto más vendido</t>
  </si>
  <si>
    <t>Mes con mayores ingresos</t>
  </si>
  <si>
    <t>SECCIÓN 4 – Visualización: Gráficos en Excel</t>
  </si>
  <si>
    <t>4.1</t>
  </si>
  <si>
    <t>Crea un gráfico de BARRAS que muestre el Total de Ventas ($) por Región. Agrégalo en esta hoja o en una nueva hoja llamada 'Gráficos'.</t>
  </si>
  <si>
    <t>4.2</t>
  </si>
  <si>
    <t>Crea un gráfico de LÍNEA que muestre la evolución mensual del Ingreso Total ($) durante 2024.</t>
  </si>
  <si>
    <t>4.3</t>
  </si>
  <si>
    <t>Crea un gráfico de TORTA (pie) que muestre la participación (%) de cada Producto en el Ingreso Total.</t>
  </si>
  <si>
    <t>PRUEBA TÉCNICA – POWER BI</t>
  </si>
  <si>
    <t>Usando el dataset de la hoja 'Dataset' de este archivo (importa el archivo .xlsx directamente a Power BI Desktop), construye un reporte de análisis de ventas con las siguientes páginas y visualizaciones. Entrega el archivo .pbix con el nombre: APELLIDO_Nombre_PowerBI.pbix</t>
  </si>
  <si>
    <t>PASO 1 – Preparación de Datos (Power Query)</t>
  </si>
  <si>
    <t xml:space="preserve">   Importa el archivo Excel y selecciona únicamente la hoja 'Dataset'.</t>
  </si>
  <si>
    <t xml:space="preserve">   Verifica y asigna correctamente los tipos de datos de cada columna (fecha, número, texto).</t>
  </si>
  <si>
    <t xml:space="preserve">   Crea una columna calculada en Power Query llamada 'Ingreso Venta' = Unidades Vendidas × Precio Unit. ($).</t>
  </si>
  <si>
    <t xml:space="preserve">   Crea una columna calculada llamada 'Costo Venta' = Unidades Vendidas × Costo Unit. ($).</t>
  </si>
  <si>
    <t xml:space="preserve">   Crea una columna llamada 'Utilidad' = Ingreso Venta − Costo Venta.</t>
  </si>
  <si>
    <t xml:space="preserve">   Asegúrate de que la columna 'Fecha' esté correctamente formateada como tipo Fecha.</t>
  </si>
  <si>
    <t>PASO 2 – Medidas DAX (Crea las siguientes medidas)</t>
  </si>
  <si>
    <t xml:space="preserve">   Total Ingresos = SUM([Ingreso Venta])</t>
  </si>
  <si>
    <t xml:space="preserve">   Total Costos = SUM([Costo Venta])</t>
  </si>
  <si>
    <t xml:space="preserve">   Utilidad Bruta = [Total Ingresos] − [Total Costos]</t>
  </si>
  <si>
    <t xml:space="preserve">   Margen Bruto % = DIVIDE([Utilidad Bruta], [Total Ingresos], 0)  →  formatea como %</t>
  </si>
  <si>
    <t xml:space="preserve">   Nº de Transacciones = COUNTROWS(Dataset)</t>
  </si>
  <si>
    <t xml:space="preserve">   Ticket Promedio = DIVIDE([Total Ingresos], [Nº de Transacciones], 0)</t>
  </si>
  <si>
    <t>PASO 3 – Página 1: Resumen Ejecutivo</t>
  </si>
  <si>
    <t xml:space="preserve">   Tarjetas (Cards): Total Ingresos, Utilidad Bruta, Margen Bruto %, Nº de Transacciones.</t>
  </si>
  <si>
    <t xml:space="preserve">   Gráfico de barras: Total Ingresos por Región.</t>
  </si>
  <si>
    <t xml:space="preserve">   Gráfico de línea: Evolución mensual del Total Ingresos durante 2024.</t>
  </si>
  <si>
    <t xml:space="preserve">   Segmentador (Slicer): por Región y por Vendedor.</t>
  </si>
  <si>
    <t>PASO 4 – Página 2: Análisis por Producto</t>
  </si>
  <si>
    <t xml:space="preserve">   Tabla con columnas: Producto, Total Ingresos, Total Costos, Utilidad Bruta, Margen Bruto %.</t>
  </si>
  <si>
    <t xml:space="preserve">   Gráfico de torta o donut: participación (%) de cada Producto en el Total de Ingresos.</t>
  </si>
  <si>
    <t xml:space="preserve">   Gráfico de barras apiladas: Ingresos por Producto desglosado por Región.</t>
  </si>
  <si>
    <t>PASO 5 – Página 3: Rendimiento de Vendedores</t>
  </si>
  <si>
    <t xml:space="preserve">   Tabla con columnas: Vendedor, Nº de Transacciones, Total Ingresos, Ticket Promedio.</t>
  </si>
  <si>
    <t xml:space="preserve">   Gráfico de barras horizontal: Total Ingresos por Vendedor (ordenado de mayor a menor).</t>
  </si>
  <si>
    <t xml:space="preserve">   Visual adicional libre: elige el que consideres más útil para analizar el rendimiento del equipo.</t>
  </si>
  <si>
    <t>CRITERIOS DE EVALUACIÓN</t>
  </si>
  <si>
    <t xml:space="preserve"> Punto extra: Agrega una tabla de fechas (Date Table) con DAX y úsala para análisis time-intelligence.</t>
  </si>
  <si>
    <t xml:space="preserve">   Correcta importación y transformación de datos en Power Query.</t>
  </si>
  <si>
    <t xml:space="preserve">   Medidas DAX creadas correctamente y sin errores.</t>
  </si>
  <si>
    <t xml:space="preserve">   Las visualizaciones responden a las preguntas de negocio planteadas.</t>
  </si>
  <si>
    <t xml:space="preserve">   El reporte es limpio, legible y bien organizado (títulos, colores consistentes, sin ruido visual).</t>
  </si>
  <si>
    <t xml:space="preserve">   Los filtros/segmentadores funcionan correctamente en todas las páginas.</t>
  </si>
  <si>
    <t>INSTRUCCIONES</t>
  </si>
  <si>
    <t>Etiquetas de fila</t>
  </si>
  <si>
    <t>Total general</t>
  </si>
  <si>
    <t>Etiquetas de columna</t>
  </si>
  <si>
    <t>Suma de Unidades Vendidas</t>
  </si>
  <si>
    <t>MES</t>
  </si>
  <si>
    <t>INGRESO</t>
  </si>
  <si>
    <t>Suma de INGRESO</t>
  </si>
  <si>
    <t>feb</t>
  </si>
  <si>
    <t>mar</t>
  </si>
  <si>
    <t>abr</t>
  </si>
  <si>
    <t>may</t>
  </si>
  <si>
    <t>sep</t>
  </si>
  <si>
    <t>nov</t>
  </si>
  <si>
    <t>dic</t>
  </si>
  <si>
    <t>ene</t>
  </si>
  <si>
    <t>jul</t>
  </si>
  <si>
    <t>oct</t>
  </si>
  <si>
    <t>ago</t>
  </si>
  <si>
    <t>Motores Modernos S.A.  |  Candidato: Hermogenes Palacio |  Fecha: 07/09/2026</t>
  </si>
  <si>
    <t xml:space="preserve"> prueba de Power 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</si>
</sst>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B/.&quot;* #,##0.00_-;\-&quot;B/.&quot;* #,##0.00_-;_-&quot;B/.&quot;* &quot;-&quot;??_-;_-@_-"/>
    <numFmt numFmtId="164" formatCode="dd/mm/yyyy"/>
    <numFmt numFmtId="165" formatCode="&quot;B/.&quot;#,##0.00"/>
  </numFmts>
  <fonts count="15" x14ac:knownFonts="1">
    <font>
      <sz val="11"/>
      <color theme="1"/>
      <name val="Calibri"/>
      <family val="2"/>
      <scheme val="minor"/>
    </font>
    <font>
      <b/>
      <sz val="13"/>
      <color rgb="FF1F3864"/>
      <name val="Calibri"/>
      <family val="2"/>
      <scheme val="minor"/>
    </font>
    <font>
      <i/>
      <sz val="10"/>
      <name val="Calibri"/>
      <family val="2"/>
      <scheme val="minor"/>
    </font>
    <font>
      <b/>
      <sz val="11"/>
      <color rgb="FFFFFFFF"/>
      <name val="Calibri"/>
      <family val="2"/>
      <scheme val="minor"/>
    </font>
    <font>
      <sz val="10"/>
      <name val="Calibri"/>
      <family val="2"/>
      <scheme val="minor"/>
    </font>
    <font>
      <b/>
      <sz val="14"/>
      <color rgb="FFFFFFFF"/>
      <name val="Calibri"/>
      <family val="2"/>
      <scheme val="minor"/>
    </font>
    <font>
      <i/>
      <sz val="10"/>
      <color rgb="FF1F3864"/>
      <name val="Calibri"/>
      <family val="2"/>
      <scheme val="minor"/>
    </font>
    <font>
      <i/>
      <sz val="10"/>
      <color rgb="FF444444"/>
      <name val="Calibri"/>
      <family val="2"/>
      <scheme val="minor"/>
    </font>
    <font>
      <i/>
      <sz val="10"/>
      <color rgb="FF777777"/>
      <name val="Calibri"/>
      <family val="2"/>
      <scheme val="minor"/>
    </font>
    <font>
      <b/>
      <sz val="10"/>
      <color rgb="FF2E74B5"/>
      <name val="Calibri"/>
      <family val="2"/>
      <scheme val="minor"/>
    </font>
    <font>
      <b/>
      <sz val="10"/>
      <name val="Calibri"/>
      <family val="2"/>
      <scheme val="minor"/>
    </font>
    <font>
      <i/>
      <sz val="10"/>
      <color rgb="FF555555"/>
      <name val="Calibri"/>
      <family val="2"/>
      <scheme val="minor"/>
    </font>
    <font>
      <i/>
      <sz val="11"/>
      <color theme="1"/>
      <name val="Calibri"/>
      <family val="2"/>
      <scheme val="minor"/>
    </font>
    <font>
      <b/>
      <sz val="14"/>
      <color theme="1"/>
      <name val="Calibri"/>
      <family val="2"/>
      <scheme val="minor"/>
    </font>
    <font>
      <b/>
      <i/>
      <sz val="16"/>
      <color theme="1"/>
      <name val="Calibri"/>
      <family val="2"/>
      <scheme val="minor"/>
    </font>
  </fonts>
  <fills count="10">
    <fill>
      <patternFill patternType="none"/>
    </fill>
    <fill>
      <patternFill patternType="gray125"/>
    </fill>
    <fill>
      <patternFill patternType="solid">
        <fgColor rgb="FF1F3864"/>
      </patternFill>
    </fill>
    <fill>
      <patternFill patternType="solid">
        <fgColor rgb="FFF2F7FF"/>
      </patternFill>
    </fill>
    <fill>
      <patternFill patternType="solid">
        <fgColor rgb="FFFFFFFF"/>
      </patternFill>
    </fill>
    <fill>
      <patternFill patternType="solid">
        <fgColor rgb="FF2E74B5"/>
      </patternFill>
    </fill>
    <fill>
      <patternFill patternType="solid">
        <fgColor rgb="FFFFFF00"/>
      </patternFill>
    </fill>
    <fill>
      <patternFill patternType="solid">
        <fgColor rgb="FFF8F9FA"/>
      </patternFill>
    </fill>
    <fill>
      <patternFill patternType="solid">
        <fgColor rgb="FFFFFF00"/>
        <bgColor indexed="64"/>
      </patternFill>
    </fill>
    <fill>
      <patternFill patternType="solid">
        <fgColor theme="0"/>
        <bgColor indexed="64"/>
      </patternFill>
    </fill>
  </fills>
  <borders count="9">
    <border>
      <left/>
      <right/>
      <top/>
      <bottom/>
      <diagonal/>
    </border>
    <border>
      <left style="thin">
        <color rgb="FFAAAAAA"/>
      </left>
      <right style="thin">
        <color rgb="FFAAAAAA"/>
      </right>
      <top style="thin">
        <color rgb="FFAAAAAA"/>
      </top>
      <bottom style="thin">
        <color rgb="FFAAAAAA"/>
      </bottom>
      <diagonal/>
    </border>
    <border>
      <left style="thin">
        <color rgb="FFDDDDDD"/>
      </left>
      <right style="thin">
        <color rgb="FFDDDDDD"/>
      </right>
      <top/>
      <bottom style="thin">
        <color rgb="FFEEEEEE"/>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rgb="FFAAAAAA"/>
      </left>
      <right style="thin">
        <color rgb="FFAAAAAA"/>
      </right>
      <top/>
      <bottom/>
      <diagonal/>
    </border>
  </borders>
  <cellStyleXfs count="1">
    <xf numFmtId="0" fontId="0" fillId="0" borderId="0"/>
  </cellStyleXfs>
  <cellXfs count="65">
    <xf numFmtId="0" fontId="0" fillId="0" borderId="0" xfId="0"/>
    <xf numFmtId="0" fontId="1"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left"/>
    </xf>
    <xf numFmtId="164" fontId="4" fillId="3" borderId="1" xfId="0" applyNumberFormat="1" applyFont="1" applyFill="1" applyBorder="1" applyAlignment="1">
      <alignment horizontal="center"/>
    </xf>
    <xf numFmtId="4" fontId="4" fillId="3" borderId="1" xfId="0" applyNumberFormat="1" applyFont="1" applyFill="1" applyBorder="1" applyAlignment="1">
      <alignment horizontal="right"/>
    </xf>
    <xf numFmtId="0" fontId="4" fillId="4" borderId="1" xfId="0" applyFont="1" applyFill="1" applyBorder="1" applyAlignment="1">
      <alignment horizontal="left"/>
    </xf>
    <xf numFmtId="164" fontId="4" fillId="4" borderId="1" xfId="0" applyNumberFormat="1" applyFont="1" applyFill="1" applyBorder="1" applyAlignment="1">
      <alignment horizontal="center"/>
    </xf>
    <xf numFmtId="4" fontId="4" fillId="4" borderId="1" xfId="0" applyNumberFormat="1" applyFont="1" applyFill="1" applyBorder="1" applyAlignment="1">
      <alignment horizontal="right"/>
    </xf>
    <xf numFmtId="0" fontId="4" fillId="0" borderId="1" xfId="0" applyFont="1" applyBorder="1" applyAlignment="1">
      <alignment horizontal="left" wrapText="1"/>
    </xf>
    <xf numFmtId="0" fontId="8" fillId="6" borderId="1" xfId="0" applyFont="1" applyFill="1" applyBorder="1" applyAlignment="1">
      <alignment horizontal="left" indent="1"/>
    </xf>
    <xf numFmtId="0" fontId="3" fillId="5" borderId="1" xfId="0" applyFont="1" applyFill="1" applyBorder="1" applyAlignment="1">
      <alignment horizontal="center" vertical="center" wrapText="1"/>
    </xf>
    <xf numFmtId="0" fontId="4" fillId="0" borderId="1" xfId="0" applyFont="1" applyBorder="1"/>
    <xf numFmtId="0" fontId="10" fillId="0" borderId="1" xfId="0" applyFont="1" applyBorder="1"/>
    <xf numFmtId="0" fontId="11" fillId="0" borderId="1" xfId="0" applyFont="1" applyBorder="1" applyAlignment="1">
      <alignment wrapText="1"/>
    </xf>
    <xf numFmtId="4" fontId="0" fillId="0" borderId="0" xfId="0" applyNumberFormat="1"/>
    <xf numFmtId="10" fontId="8" fillId="6" borderId="1" xfId="0" applyNumberFormat="1" applyFont="1" applyFill="1" applyBorder="1" applyAlignment="1">
      <alignment horizontal="left" indent="1"/>
    </xf>
    <xf numFmtId="0" fontId="0" fillId="0" borderId="7" xfId="0" pivotButton="1" applyBorder="1"/>
    <xf numFmtId="0" fontId="0" fillId="0" borderId="7" xfId="0" applyBorder="1"/>
    <xf numFmtId="0" fontId="0" fillId="0" borderId="7" xfId="0" applyBorder="1" applyAlignment="1">
      <alignment horizontal="left"/>
    </xf>
    <xf numFmtId="44" fontId="8" fillId="6" borderId="1" xfId="0" applyNumberFormat="1" applyFont="1" applyFill="1" applyBorder="1" applyAlignment="1">
      <alignment horizontal="left" indent="1"/>
    </xf>
    <xf numFmtId="0" fontId="3" fillId="2" borderId="8" xfId="0" applyFont="1" applyFill="1" applyBorder="1" applyAlignment="1">
      <alignment horizontal="center" vertical="center" wrapText="1"/>
    </xf>
    <xf numFmtId="44" fontId="0" fillId="0" borderId="0" xfId="0" applyNumberFormat="1"/>
    <xf numFmtId="165" fontId="12" fillId="8" borderId="0" xfId="0" applyNumberFormat="1" applyFont="1" applyFill="1"/>
    <xf numFmtId="165" fontId="0" fillId="0" borderId="0" xfId="0" applyNumberFormat="1"/>
    <xf numFmtId="165" fontId="0" fillId="0" borderId="7" xfId="0" applyNumberFormat="1" applyBorder="1"/>
    <xf numFmtId="165" fontId="4" fillId="3" borderId="1" xfId="0" applyNumberFormat="1" applyFont="1" applyFill="1" applyBorder="1" applyAlignment="1">
      <alignment horizontal="right"/>
    </xf>
    <xf numFmtId="165" fontId="4" fillId="4" borderId="1" xfId="0" applyNumberFormat="1" applyFont="1" applyFill="1" applyBorder="1" applyAlignment="1">
      <alignment horizontal="right"/>
    </xf>
    <xf numFmtId="0" fontId="0" fillId="9" borderId="0" xfId="0" applyFill="1"/>
    <xf numFmtId="0" fontId="2" fillId="0" borderId="0" xfId="0" applyFont="1" applyAlignment="1">
      <alignment wrapText="1"/>
    </xf>
    <xf numFmtId="0" fontId="0" fillId="0" borderId="0" xfId="0"/>
    <xf numFmtId="0" fontId="4" fillId="0" borderId="1" xfId="0" applyFont="1" applyBorder="1" applyAlignment="1">
      <alignment wrapText="1"/>
    </xf>
    <xf numFmtId="0" fontId="8" fillId="8" borderId="1" xfId="0" applyFont="1" applyFill="1" applyBorder="1" applyAlignment="1">
      <alignment horizontal="left" indent="1"/>
    </xf>
    <xf numFmtId="0" fontId="0" fillId="8" borderId="0" xfId="0" applyFill="1"/>
    <xf numFmtId="0" fontId="4" fillId="0" borderId="1" xfId="0" applyFont="1" applyBorder="1" applyAlignment="1">
      <alignment horizontal="left" wrapText="1"/>
    </xf>
    <xf numFmtId="165" fontId="8" fillId="8" borderId="1" xfId="0" applyNumberFormat="1" applyFont="1" applyFill="1" applyBorder="1" applyAlignment="1">
      <alignment horizontal="left" indent="1"/>
    </xf>
    <xf numFmtId="165" fontId="0" fillId="8" borderId="0" xfId="0" applyNumberFormat="1" applyFill="1"/>
    <xf numFmtId="0" fontId="4" fillId="0" borderId="0" xfId="0" applyFont="1" applyAlignment="1">
      <alignment wrapText="1"/>
    </xf>
    <xf numFmtId="0" fontId="3" fillId="5" borderId="0" xfId="0" applyFont="1" applyFill="1" applyAlignment="1">
      <alignment horizontal="left" vertical="center" indent="1"/>
    </xf>
    <xf numFmtId="0" fontId="9" fillId="0" borderId="0" xfId="0" applyFont="1"/>
    <xf numFmtId="0" fontId="8" fillId="6" borderId="1" xfId="0" applyFont="1" applyFill="1" applyBorder="1" applyAlignment="1">
      <alignment horizontal="left" indent="1"/>
    </xf>
    <xf numFmtId="165" fontId="8" fillId="6" borderId="1" xfId="0" applyNumberFormat="1" applyFont="1" applyFill="1" applyBorder="1" applyAlignment="1">
      <alignment horizontal="left" indent="1"/>
    </xf>
    <xf numFmtId="165" fontId="0" fillId="0" borderId="0" xfId="0" applyNumberFormat="1"/>
    <xf numFmtId="0" fontId="2" fillId="0" borderId="0" xfId="0" applyFont="1"/>
    <xf numFmtId="0" fontId="5" fillId="2" borderId="0" xfId="0" applyFont="1" applyFill="1" applyAlignment="1">
      <alignment horizontal="center" vertical="center"/>
    </xf>
    <xf numFmtId="4" fontId="8" fillId="8" borderId="1" xfId="0" applyNumberFormat="1" applyFont="1" applyFill="1" applyBorder="1" applyAlignment="1">
      <alignment horizontal="left" indent="1"/>
    </xf>
    <xf numFmtId="0" fontId="7" fillId="0" borderId="0" xfId="0" applyFont="1" applyAlignment="1">
      <alignment horizontal="left" wrapText="1"/>
    </xf>
    <xf numFmtId="0" fontId="6" fillId="0" borderId="0" xfId="0" applyFont="1" applyAlignment="1">
      <alignment horizontal="center"/>
    </xf>
    <xf numFmtId="0" fontId="10" fillId="0" borderId="0" xfId="0" applyFont="1"/>
    <xf numFmtId="0" fontId="4" fillId="4" borderId="2" xfId="0" applyFont="1" applyFill="1" applyBorder="1" applyAlignment="1">
      <alignment horizontal="left" wrapText="1"/>
    </xf>
    <xf numFmtId="0" fontId="4" fillId="7" borderId="2" xfId="0" applyFont="1" applyFill="1" applyBorder="1" applyAlignment="1">
      <alignment horizontal="left" wrapText="1"/>
    </xf>
    <xf numFmtId="0" fontId="4" fillId="9" borderId="2" xfId="0" applyFont="1" applyFill="1" applyBorder="1" applyAlignment="1">
      <alignment horizontal="left" wrapText="1"/>
    </xf>
    <xf numFmtId="0" fontId="0" fillId="9" borderId="0" xfId="0" applyFill="1"/>
    <xf numFmtId="0" fontId="0" fillId="9" borderId="3" xfId="0" applyFill="1" applyBorder="1"/>
    <xf numFmtId="0" fontId="0" fillId="9" borderId="4" xfId="0" applyFill="1" applyBorder="1"/>
    <xf numFmtId="0" fontId="0" fillId="9" borderId="5" xfId="0" applyFill="1" applyBorder="1"/>
    <xf numFmtId="0" fontId="0" fillId="9" borderId="6" xfId="0" applyFill="1" applyBorder="1"/>
    <xf numFmtId="0" fontId="0" fillId="9" borderId="6" xfId="0" applyFill="1" applyBorder="1" applyAlignment="1">
      <alignment horizontal="left"/>
    </xf>
    <xf numFmtId="165" fontId="0" fillId="9" borderId="0" xfId="0" applyNumberFormat="1" applyFill="1"/>
    <xf numFmtId="0" fontId="0" fillId="9" borderId="0" xfId="0" applyFill="1" applyAlignment="1">
      <alignment horizontal="left"/>
    </xf>
    <xf numFmtId="4" fontId="0" fillId="9" borderId="0" xfId="0" applyNumberFormat="1" applyFill="1"/>
    <xf numFmtId="0" fontId="0" fillId="9" borderId="0" xfId="0" applyFill="1" applyBorder="1"/>
    <xf numFmtId="0" fontId="0" fillId="0" borderId="0" xfId="0" applyBorder="1"/>
    <xf numFmtId="0" fontId="13" fillId="9" borderId="0" xfId="0" applyFont="1" applyFill="1" applyBorder="1" applyAlignment="1">
      <alignment horizontal="center" vertical="center"/>
    </xf>
    <xf numFmtId="0" fontId="14" fillId="9" borderId="0" xfId="0" applyFont="1" applyFill="1" applyBorder="1" applyAlignment="1">
      <alignment horizontal="center" vertical="center"/>
    </xf>
  </cellXfs>
  <cellStyles count="1">
    <cellStyle name="Normal" xfId="0" builtinId="0"/>
  </cellStyles>
  <dxfs count="56">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0.149998474074526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5" formatCode="&quot;B/.&quot;#,##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0" formatCode="General"/>
    </dxf>
    <dxf>
      <numFmt numFmtId="165" formatCode="&quot;B/.&quot;#,##0.00"/>
    </dxf>
    <dxf>
      <numFmt numFmtId="165" formatCode="&quot;B/.&quot;#,##0.00"/>
    </dxf>
    <dxf>
      <fill>
        <patternFill>
          <bgColor theme="0" tint="-0.14999847407452621"/>
        </patternFill>
      </fill>
    </dxf>
    <dxf>
      <fill>
        <patternFill>
          <bgColor theme="0" tint="-0.14999847407452621"/>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B/.&quot;#,##0.0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B/.&quot;#,##0.00"/>
    </dxf>
  </dxfs>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[Prueba_Tecnica_Analista_Jr_FinanzasBI 2026.xlsb.xlsx]GRAFICAS!TablaDinámica17</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s-PA"/>
              <a:t> </a:t>
            </a:r>
          </a:p>
        </c:rich>
      </c:tx>
      <c:layout>
        <c:manualLayout>
          <c:xMode val="edge"/>
          <c:yMode val="edge"/>
          <c:x val="0.42339543116586231"/>
          <c:y val="5.0585637147779437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s-PA"/>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P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ln w="22225" cap="rnd">
            <a:solidFill>
              <a:schemeClr val="accent6"/>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PA"/>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3938598584268"/>
          <c:y val="0.11268226440350967"/>
          <c:w val="0.70789906943450254"/>
          <c:h val="0.74779244980410431"/>
        </c:manualLayout>
      </c:layout>
      <c:barChart>
        <c:barDir val="col"/>
        <c:grouping val="clustered"/>
        <c:varyColors val="0"/>
        <c:ser>
          <c:idx val="0"/>
          <c:order val="0"/>
          <c:tx>
            <c:strRef>
              <c:f>GRAFICAS!$B$3</c:f>
              <c:strCache>
                <c:ptCount val="1"/>
                <c:pt idx="0">
                  <c:v>Suma de Unidades Vendidas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P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GRAFICAS!$A$4:$A$9</c:f>
              <c:strCache>
                <c:ptCount val="5"/>
                <c:pt idx="0">
                  <c:v>Chiriquí</c:v>
                </c:pt>
                <c:pt idx="1">
                  <c:v>Ciudad de Panamá</c:v>
                </c:pt>
                <c:pt idx="2">
                  <c:v>Colón</c:v>
                </c:pt>
                <c:pt idx="3">
                  <c:v>Herrera</c:v>
                </c:pt>
                <c:pt idx="4">
                  <c:v>Veraguas</c:v>
                </c:pt>
              </c:strCache>
            </c:strRef>
          </c:cat>
          <c:val>
            <c:numRef>
              <c:f>GRAFICAS!$B$4:$B$9</c:f>
              <c:numCache>
                <c:formatCode>General</c:formatCode>
                <c:ptCount val="5"/>
                <c:pt idx="0">
                  <c:v>24</c:v>
                </c:pt>
                <c:pt idx="1">
                  <c:v>35</c:v>
                </c:pt>
                <c:pt idx="2">
                  <c:v>31</c:v>
                </c:pt>
                <c:pt idx="3">
                  <c:v>41</c:v>
                </c:pt>
                <c:pt idx="4">
                  <c:v>34</c:v>
                </c:pt>
              </c:numCache>
            </c:numRef>
          </c:val>
          <c:extLst>
            <c:ext xmlns:c16="http://schemas.microsoft.com/office/drawing/2014/chart" uri="{C3380CC4-5D6E-409C-BE32-E72D297353CC}">
              <c16:uniqueId val="{00000048-9CBD-449D-A033-51C37C0F5F10}"/>
            </c:ext>
          </c:extLst>
        </c:ser>
        <c:dLbls>
          <c:dLblPos val="outEnd"/>
          <c:showLegendKey val="0"/>
          <c:showVal val="1"/>
          <c:showCatName val="0"/>
          <c:showSerName val="0"/>
          <c:showPercent val="0"/>
          <c:showBubbleSize val="0"/>
        </c:dLbls>
        <c:gapWidth val="247"/>
        <c:axId val="1912086895"/>
        <c:axId val="1772211791"/>
      </c:barChart>
      <c:lineChart>
        <c:grouping val="standard"/>
        <c:varyColors val="0"/>
        <c:ser>
          <c:idx val="1"/>
          <c:order val="1"/>
          <c:tx>
            <c:strRef>
              <c:f>GRAFICAS!$C$3</c:f>
              <c:strCache>
                <c:ptCount val="1"/>
                <c:pt idx="0">
                  <c:v>Suma de INGRESO</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P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GRAFICAS!$A$4:$A$9</c:f>
              <c:strCache>
                <c:ptCount val="5"/>
                <c:pt idx="0">
                  <c:v>Chiriquí</c:v>
                </c:pt>
                <c:pt idx="1">
                  <c:v>Ciudad de Panamá</c:v>
                </c:pt>
                <c:pt idx="2">
                  <c:v>Colón</c:v>
                </c:pt>
                <c:pt idx="3">
                  <c:v>Herrera</c:v>
                </c:pt>
                <c:pt idx="4">
                  <c:v>Veraguas</c:v>
                </c:pt>
              </c:strCache>
            </c:strRef>
          </c:cat>
          <c:val>
            <c:numRef>
              <c:f>GRAFICAS!$C$4:$C$9</c:f>
              <c:numCache>
                <c:formatCode>"B/."#,##0.00</c:formatCode>
                <c:ptCount val="5"/>
                <c:pt idx="0">
                  <c:v>584500</c:v>
                </c:pt>
                <c:pt idx="1">
                  <c:v>882500</c:v>
                </c:pt>
                <c:pt idx="2">
                  <c:v>719500</c:v>
                </c:pt>
                <c:pt idx="3">
                  <c:v>1042000</c:v>
                </c:pt>
                <c:pt idx="4">
                  <c:v>820000</c:v>
                </c:pt>
              </c:numCache>
            </c:numRef>
          </c:val>
          <c:smooth val="0"/>
          <c:extLst>
            <c:ext xmlns:c16="http://schemas.microsoft.com/office/drawing/2014/chart" uri="{C3380CC4-5D6E-409C-BE32-E72D297353CC}">
              <c16:uniqueId val="{0000004D-9CBD-449D-A033-51C37C0F5F10}"/>
            </c:ext>
          </c:extLst>
        </c:ser>
        <c:dLbls>
          <c:showLegendKey val="0"/>
          <c:showVal val="1"/>
          <c:showCatName val="0"/>
          <c:showSerName val="0"/>
          <c:showPercent val="0"/>
          <c:showBubbleSize val="0"/>
        </c:dLbls>
        <c:marker val="1"/>
        <c:smooth val="0"/>
        <c:axId val="1903502111"/>
        <c:axId val="1772197391"/>
      </c:lineChart>
      <c:catAx>
        <c:axId val="19035021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s-PA"/>
          </a:p>
        </c:txPr>
        <c:crossAx val="1772197391"/>
        <c:crosses val="autoZero"/>
        <c:auto val="1"/>
        <c:lblAlgn val="ctr"/>
        <c:lblOffset val="100"/>
        <c:noMultiLvlLbl val="0"/>
      </c:catAx>
      <c:valAx>
        <c:axId val="1772197391"/>
        <c:scaling>
          <c:orientation val="minMax"/>
        </c:scaling>
        <c:delete val="0"/>
        <c:axPos val="l"/>
        <c:majorGridlines>
          <c:spPr>
            <a:ln w="9525" cap="flat" cmpd="sng" algn="ctr">
              <a:solidFill>
                <a:schemeClr val="dk1">
                  <a:lumMod val="15000"/>
                  <a:lumOff val="85000"/>
                </a:schemeClr>
              </a:solidFill>
              <a:round/>
            </a:ln>
            <a:effectLst/>
          </c:spPr>
        </c:majorGridlines>
        <c:numFmt formatCode="&quot;B/.&quot;#,##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PA"/>
          </a:p>
        </c:txPr>
        <c:crossAx val="1903502111"/>
        <c:crosses val="autoZero"/>
        <c:crossBetween val="between"/>
      </c:valAx>
      <c:valAx>
        <c:axId val="1772211791"/>
        <c:scaling>
          <c:orientation val="minMax"/>
        </c:scaling>
        <c:delete val="0"/>
        <c:axPos val="r"/>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PA"/>
          </a:p>
        </c:txPr>
        <c:crossAx val="1912086895"/>
        <c:crosses val="max"/>
        <c:crossBetween val="between"/>
      </c:valAx>
      <c:catAx>
        <c:axId val="1912086895"/>
        <c:scaling>
          <c:orientation val="minMax"/>
        </c:scaling>
        <c:delete val="1"/>
        <c:axPos val="b"/>
        <c:numFmt formatCode="General" sourceLinked="1"/>
        <c:majorTickMark val="out"/>
        <c:minorTickMark val="none"/>
        <c:tickLblPos val="nextTo"/>
        <c:crossAx val="1772211791"/>
        <c:crosses val="autoZero"/>
        <c:auto val="1"/>
        <c:lblAlgn val="ctr"/>
        <c:lblOffset val="100"/>
        <c:noMultiLvlLbl val="0"/>
      </c:cat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s-PA"/>
          </a:p>
        </c:txPr>
      </c:dTable>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15000"/>
          <a:lumOff val="85000"/>
        </a:schemeClr>
      </a:solidFill>
      <a:round/>
    </a:ln>
    <a:effectLst/>
  </c:spPr>
  <c:txPr>
    <a:bodyPr/>
    <a:lstStyle/>
    <a:p>
      <a:pPr>
        <a:defRPr/>
      </a:pPr>
      <a:endParaRPr lang="es-P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6"/>
    </mc:Choice>
    <mc:Fallback>
      <c:style val="6"/>
    </mc:Fallback>
  </mc:AlternateContent>
  <c:pivotSource>
    <c:name>[Prueba_Tecnica_Analista_Jr_FinanzasBI 2026.xlsb.xlsx]GRAFICAS!TablaDinámica18</c:name>
    <c:fmtId val="1"/>
  </c:pivotSource>
  <c:chart>
    <c:autoTitleDeleted val="1"/>
    <c:pivotFmts>
      <c:pivotFmt>
        <c:idx val="0"/>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PA"/>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4"/>
            </a:solidFill>
            <a:round/>
          </a:ln>
          <a:effectLst/>
        </c:spPr>
        <c:marker>
          <c:symbol val="diamond"/>
          <c:size val="6"/>
          <c:spPr>
            <a:solidFill>
              <a:schemeClr val="accent4"/>
            </a:solidFill>
            <a:ln w="9525">
              <a:solidFill>
                <a:schemeClr val="accent4"/>
              </a:solidFill>
              <a:round/>
            </a:ln>
            <a:effectLst/>
          </c:spPr>
        </c:marker>
      </c:pivotFmt>
    </c:pivotFmts>
    <c:plotArea>
      <c:layout>
        <c:manualLayout>
          <c:layoutTarget val="inner"/>
          <c:xMode val="edge"/>
          <c:yMode val="edge"/>
          <c:x val="4.2518897952253526E-2"/>
          <c:y val="0.19297939700859543"/>
          <c:w val="0.82764339759324868"/>
          <c:h val="0.62226416663980866"/>
        </c:manualLayout>
      </c:layout>
      <c:lineChart>
        <c:grouping val="standard"/>
        <c:varyColors val="0"/>
        <c:ser>
          <c:idx val="0"/>
          <c:order val="0"/>
          <c:tx>
            <c:strRef>
              <c:f>GRAFICAS!$B$36</c:f>
              <c:strCache>
                <c:ptCount val="1"/>
                <c:pt idx="0">
                  <c:v>Total</c:v>
                </c:pt>
              </c:strCache>
            </c:strRef>
          </c:tx>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s>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P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GRAFICAS!$A$37:$A$48</c:f>
              <c:strCache>
                <c:ptCount val="11"/>
                <c:pt idx="0">
                  <c:v>ene</c:v>
                </c:pt>
                <c:pt idx="1">
                  <c:v>feb</c:v>
                </c:pt>
                <c:pt idx="2">
                  <c:v>mar</c:v>
                </c:pt>
                <c:pt idx="3">
                  <c:v>abr</c:v>
                </c:pt>
                <c:pt idx="4">
                  <c:v>may</c:v>
                </c:pt>
                <c:pt idx="5">
                  <c:v>jul</c:v>
                </c:pt>
                <c:pt idx="6">
                  <c:v>ago</c:v>
                </c:pt>
                <c:pt idx="7">
                  <c:v>sep</c:v>
                </c:pt>
                <c:pt idx="8">
                  <c:v>oct</c:v>
                </c:pt>
                <c:pt idx="9">
                  <c:v>nov</c:v>
                </c:pt>
                <c:pt idx="10">
                  <c:v>dic</c:v>
                </c:pt>
              </c:strCache>
            </c:strRef>
          </c:cat>
          <c:val>
            <c:numRef>
              <c:f>GRAFICAS!$B$37:$B$48</c:f>
              <c:numCache>
                <c:formatCode>"B/."#,##0.00</c:formatCode>
                <c:ptCount val="11"/>
                <c:pt idx="0">
                  <c:v>300000</c:v>
                </c:pt>
                <c:pt idx="1">
                  <c:v>356000</c:v>
                </c:pt>
                <c:pt idx="2">
                  <c:v>399500</c:v>
                </c:pt>
                <c:pt idx="3">
                  <c:v>593000</c:v>
                </c:pt>
                <c:pt idx="4">
                  <c:v>323000</c:v>
                </c:pt>
                <c:pt idx="5">
                  <c:v>528500</c:v>
                </c:pt>
                <c:pt idx="6">
                  <c:v>228500</c:v>
                </c:pt>
                <c:pt idx="7">
                  <c:v>477000</c:v>
                </c:pt>
                <c:pt idx="8">
                  <c:v>112500</c:v>
                </c:pt>
                <c:pt idx="9">
                  <c:v>333500</c:v>
                </c:pt>
                <c:pt idx="10">
                  <c:v>397000</c:v>
                </c:pt>
              </c:numCache>
            </c:numRef>
          </c:val>
          <c:smooth val="0"/>
          <c:extLst>
            <c:ext xmlns:c16="http://schemas.microsoft.com/office/drawing/2014/chart" uri="{C3380CC4-5D6E-409C-BE32-E72D297353CC}">
              <c16:uniqueId val="{00000000-8B26-424D-9234-3554C821EAB8}"/>
            </c:ext>
          </c:extLst>
        </c:ser>
        <c:dLbls>
          <c:dLblPos val="t"/>
          <c:showLegendKey val="0"/>
          <c:showVal val="1"/>
          <c:showCatName val="0"/>
          <c:showSerName val="0"/>
          <c:showPercent val="0"/>
          <c:showBubbleSize val="0"/>
        </c:dLbls>
        <c:marker val="1"/>
        <c:smooth val="0"/>
        <c:axId val="2042770943"/>
        <c:axId val="1772282831"/>
      </c:lineChart>
      <c:catAx>
        <c:axId val="204277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PA"/>
          </a:p>
        </c:txPr>
        <c:crossAx val="1772282831"/>
        <c:crosses val="autoZero"/>
        <c:auto val="1"/>
        <c:lblAlgn val="ctr"/>
        <c:lblOffset val="100"/>
        <c:noMultiLvlLbl val="0"/>
      </c:catAx>
      <c:valAx>
        <c:axId val="1772282831"/>
        <c:scaling>
          <c:orientation val="minMax"/>
        </c:scaling>
        <c:delete val="1"/>
        <c:axPos val="l"/>
        <c:numFmt formatCode="&quot;B/.&quot;#,##0.00" sourceLinked="1"/>
        <c:majorTickMark val="none"/>
        <c:minorTickMark val="none"/>
        <c:tickLblPos val="nextTo"/>
        <c:crossAx val="204277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P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[Prueba_Tecnica_Analista_Jr_FinanzasBI 2026.xlsb.xlsx]GRAFICAS!TablaDinámica20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PARTICIPACION POR PRODUCTO 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PA"/>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PA"/>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FF0000"/>
          </a:solidFill>
          <a:ln>
            <a:noFill/>
          </a:ln>
          <a:effectLst>
            <a:outerShdw blurRad="254000" sx="102000" sy="102000" algn="ctr" rotWithShape="0">
              <a:prstClr val="black">
                <a:alpha val="20000"/>
              </a:prstClr>
            </a:outerShdw>
          </a:effectLst>
        </c:spPr>
      </c:pivotFmt>
      <c:pivotFmt>
        <c:idx val="2"/>
        <c:spPr>
          <a:solidFill>
            <a:srgbClr val="FFC000"/>
          </a:solidFill>
          <a:ln>
            <a:noFill/>
          </a:ln>
          <a:effectLst>
            <a:outerShdw blurRad="254000" sx="102000" sy="102000" algn="ctr" rotWithShape="0">
              <a:prstClr val="black">
                <a:alpha val="20000"/>
              </a:prstClr>
            </a:outerShdw>
          </a:effectLst>
        </c:spPr>
      </c:pivotFmt>
      <c:pivotFmt>
        <c:idx val="3"/>
        <c:spPr>
          <a:solidFill>
            <a:srgbClr val="FFFF00"/>
          </a:solidFill>
          <a:ln>
            <a:noFill/>
          </a:ln>
          <a:effectLst>
            <a:outerShdw blurRad="254000" sx="102000" sy="102000" algn="ctr" rotWithShape="0">
              <a:prstClr val="black">
                <a:alpha val="20000"/>
              </a:prstClr>
            </a:outerShdw>
          </a:effectLst>
        </c:spPr>
      </c:pivotFmt>
      <c:pivotFmt>
        <c:idx val="4"/>
        <c:spPr>
          <a:solidFill>
            <a:srgbClr val="92D050"/>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GRAFICAS!$P$3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687-45CB-8B31-E02FA0BC6AB9}"/>
              </c:ext>
            </c:extLst>
          </c:dPt>
          <c:dPt>
            <c:idx val="1"/>
            <c:bubble3D val="0"/>
            <c:spPr>
              <a:solidFill>
                <a:srgbClr val="FFFF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4AAE-4DF8-93C7-1366CF698072}"/>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AE-4DF8-93C7-1366CF698072}"/>
              </c:ext>
            </c:extLst>
          </c:dPt>
          <c:dPt>
            <c:idx val="3"/>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4AAE-4DF8-93C7-1366CF698072}"/>
              </c:ext>
            </c:extLst>
          </c:dPt>
          <c:dPt>
            <c:idx val="4"/>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AAE-4DF8-93C7-1366CF6980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PA"/>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GRAFICAS!$O$4:$O$9</c:f>
              <c:strCache>
                <c:ptCount val="5"/>
                <c:pt idx="0">
                  <c:v>Hyundai Tucson</c:v>
                </c:pt>
                <c:pt idx="1">
                  <c:v>Kia Sportage</c:v>
                </c:pt>
                <c:pt idx="2">
                  <c:v>Mazda CX-5</c:v>
                </c:pt>
                <c:pt idx="3">
                  <c:v>Suzuki Swift</c:v>
                </c:pt>
                <c:pt idx="4">
                  <c:v>Toyota Corolla</c:v>
                </c:pt>
              </c:strCache>
            </c:strRef>
          </c:cat>
          <c:val>
            <c:numRef>
              <c:f>GRAFICAS!$P$4:$P$9</c:f>
              <c:numCache>
                <c:formatCode>"B/."#,##0.00</c:formatCode>
                <c:ptCount val="5"/>
                <c:pt idx="0">
                  <c:v>1120000</c:v>
                </c:pt>
                <c:pt idx="1">
                  <c:v>825000</c:v>
                </c:pt>
                <c:pt idx="2">
                  <c:v>810000</c:v>
                </c:pt>
                <c:pt idx="3">
                  <c:v>416000</c:v>
                </c:pt>
                <c:pt idx="4">
                  <c:v>877500</c:v>
                </c:pt>
              </c:numCache>
            </c:numRef>
          </c:val>
          <c:extLst>
            <c:ext xmlns:c16="http://schemas.microsoft.com/office/drawing/2014/chart" uri="{C3380CC4-5D6E-409C-BE32-E72D297353CC}">
              <c16:uniqueId val="{00000000-4AAE-4DF8-93C7-1366CF698072}"/>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s-PA"/>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690257</xdr:colOff>
      <xdr:row>4</xdr:row>
      <xdr:rowOff>139120</xdr:rowOff>
    </xdr:from>
    <xdr:to>
      <xdr:col>11</xdr:col>
      <xdr:colOff>735263</xdr:colOff>
      <xdr:row>23</xdr:row>
      <xdr:rowOff>161980</xdr:rowOff>
    </xdr:to>
    <xdr:graphicFrame macro="">
      <xdr:nvGraphicFramePr>
        <xdr:cNvPr id="2" name="Gráfico 1">
          <a:extLst>
            <a:ext uri="{FF2B5EF4-FFF2-40B4-BE49-F238E27FC236}">
              <a16:creationId xmlns:a16="http://schemas.microsoft.com/office/drawing/2014/main" id="{AD90551E-CB5F-9FC8-5A65-3BC880842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652255</xdr:colOff>
      <xdr:row>31</xdr:row>
      <xdr:rowOff>21074</xdr:rowOff>
    </xdr:from>
    <xdr:to>
      <xdr:col>11</xdr:col>
      <xdr:colOff>776987</xdr:colOff>
      <xdr:row>50</xdr:row>
      <xdr:rowOff>116375</xdr:rowOff>
    </xdr:to>
    <xdr:graphicFrame macro="">
      <xdr:nvGraphicFramePr>
        <xdr:cNvPr id="4" name="Gráfico 3">
          <a:extLst>
            <a:ext uri="{FF2B5EF4-FFF2-40B4-BE49-F238E27FC236}">
              <a16:creationId xmlns:a16="http://schemas.microsoft.com/office/drawing/2014/main" id="{207A7CF8-868F-5105-C8FA-347F2FD2C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121022</xdr:colOff>
      <xdr:row>13</xdr:row>
      <xdr:rowOff>160942</xdr:rowOff>
    </xdr:from>
    <xdr:to>
      <xdr:col>20</xdr:col>
      <xdr:colOff>330535</xdr:colOff>
      <xdr:row>36</xdr:row>
      <xdr:rowOff>112525</xdr:rowOff>
    </xdr:to>
    <xdr:graphicFrame macro="">
      <xdr:nvGraphicFramePr>
        <xdr:cNvPr id="10" name="Gráfico 9">
          <a:extLst>
            <a:ext uri="{FF2B5EF4-FFF2-40B4-BE49-F238E27FC236}">
              <a16:creationId xmlns:a16="http://schemas.microsoft.com/office/drawing/2014/main" id="{F9186BDC-7053-0DD1-479C-800550C02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650241</xdr:colOff>
      <xdr:row>27</xdr:row>
      <xdr:rowOff>180474</xdr:rowOff>
    </xdr:from>
    <xdr:to>
      <xdr:col>11</xdr:col>
      <xdr:colOff>782321</xdr:colOff>
      <xdr:row>30</xdr:row>
      <xdr:rowOff>53474</xdr:rowOff>
    </xdr:to>
    <xdr:sp macro="" textlink="">
      <xdr:nvSpPr>
        <xdr:cNvPr id="3" name="CuadroTexto 2">
          <a:extLst>
            <a:ext uri="{FF2B5EF4-FFF2-40B4-BE49-F238E27FC236}">
              <a16:creationId xmlns:a16="http://schemas.microsoft.com/office/drawing/2014/main" id="{30A8E1A2-3931-F3E5-C6A7-5A7BCD83E7E0}"/>
            </a:ext>
          </a:extLst>
        </xdr:cNvPr>
        <xdr:cNvSpPr txBox="1"/>
      </xdr:nvSpPr>
      <xdr:spPr>
        <a:xfrm>
          <a:off x="4299820" y="5233737"/>
          <a:ext cx="7564922" cy="434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PA" sz="1600">
              <a:latin typeface="Cooper Black" panose="0208090404030B020404" pitchFamily="18" charset="0"/>
            </a:rPr>
            <a:t>EVOLUCION MENSUAL DEL INGRESO TOTAL AÑO 2024</a:t>
          </a:r>
        </a:p>
      </xdr:txBody>
    </xdr:sp>
    <xdr:clientData/>
  </xdr:twoCellAnchor>
  <xdr:twoCellAnchor>
    <xdr:from>
      <xdr:col>3</xdr:col>
      <xdr:colOff>681790</xdr:colOff>
      <xdr:row>1</xdr:row>
      <xdr:rowOff>80211</xdr:rowOff>
    </xdr:from>
    <xdr:to>
      <xdr:col>11</xdr:col>
      <xdr:colOff>721896</xdr:colOff>
      <xdr:row>4</xdr:row>
      <xdr:rowOff>0</xdr:rowOff>
    </xdr:to>
    <xdr:sp macro="" textlink="">
      <xdr:nvSpPr>
        <xdr:cNvPr id="5" name="CuadroTexto 4">
          <a:extLst>
            <a:ext uri="{FF2B5EF4-FFF2-40B4-BE49-F238E27FC236}">
              <a16:creationId xmlns:a16="http://schemas.microsoft.com/office/drawing/2014/main" id="{48580167-C61B-D827-FE22-4B1B3813FF8E}"/>
            </a:ext>
          </a:extLst>
        </xdr:cNvPr>
        <xdr:cNvSpPr txBox="1"/>
      </xdr:nvSpPr>
      <xdr:spPr>
        <a:xfrm>
          <a:off x="4331369" y="267369"/>
          <a:ext cx="7472948" cy="4812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PA" sz="1600">
              <a:latin typeface="Cooper Black" panose="0208090404030B020404" pitchFamily="18" charset="0"/>
            </a:rPr>
            <a:t>TOTAL DE VENTAS POR REGIONES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P" refreshedDate="46212.142028703704" createdVersion="8" refreshedVersion="8" minRefreshableVersion="3" recordCount="60" xr:uid="{E109DF6A-FB69-4EA3-BC37-6398DC4F7D5D}">
  <cacheSource type="worksheet">
    <worksheetSource ref="A4:J64" sheet="Dataset"/>
  </cacheSource>
  <cacheFields count="12">
    <cacheField name="ID Venta" numFmtId="0">
      <sharedItems/>
    </cacheField>
    <cacheField name="Fecha" numFmtId="164">
      <sharedItems containsSemiMixedTypes="0" containsNonDate="0" containsDate="1" containsString="0" minDate="2024-01-06T00:00:00" maxDate="2024-12-25T00:00:00" count="56">
        <d v="2024-11-04T00:00:00"/>
        <d v="2024-03-24T00:00:00"/>
        <d v="2024-07-02T00:00:00"/>
        <d v="2024-09-20T00:00:00"/>
        <d v="2024-07-08T00:00:00"/>
        <d v="2024-03-23T00:00:00"/>
        <d v="2024-04-25T00:00:00"/>
        <d v="2024-02-12T00:00:00"/>
        <d v="2024-12-15T00:00:00"/>
        <d v="2024-09-10T00:00:00"/>
        <d v="2024-12-03T00:00:00"/>
        <d v="2024-04-28T00:00:00"/>
        <d v="2024-11-27T00:00:00"/>
        <d v="2024-04-22T00:00:00"/>
        <d v="2024-09-24T00:00:00"/>
        <d v="2024-05-21T00:00:00"/>
        <d v="2024-04-27T00:00:00"/>
        <d v="2024-02-07T00:00:00"/>
        <d v="2024-07-21T00:00:00"/>
        <d v="2024-04-24T00:00:00"/>
        <d v="2024-07-19T00:00:00"/>
        <d v="2024-09-16T00:00:00"/>
        <d v="2024-11-06T00:00:00"/>
        <d v="2024-07-20T00:00:00"/>
        <d v="2024-01-22T00:00:00"/>
        <d v="2024-02-10T00:00:00"/>
        <d v="2024-12-24T00:00:00"/>
        <d v="2024-02-28T00:00:00"/>
        <d v="2024-03-12T00:00:00"/>
        <d v="2024-10-11T00:00:00"/>
        <d v="2024-05-08T00:00:00"/>
        <d v="2024-02-24T00:00:00"/>
        <d v="2024-03-22T00:00:00"/>
        <d v="2024-09-28T00:00:00"/>
        <d v="2024-12-23T00:00:00"/>
        <d v="2024-08-17T00:00:00"/>
        <d v="2024-02-11T00:00:00"/>
        <d v="2024-10-08T00:00:00"/>
        <d v="2024-02-02T00:00:00"/>
        <d v="2024-05-22T00:00:00"/>
        <d v="2024-12-19T00:00:00"/>
        <d v="2024-07-07T00:00:00"/>
        <d v="2024-07-14T00:00:00"/>
        <d v="2024-07-24T00:00:00"/>
        <d v="2024-04-18T00:00:00"/>
        <d v="2024-05-15T00:00:00"/>
        <d v="2024-03-14T00:00:00"/>
        <d v="2024-01-06T00:00:00"/>
        <d v="2024-08-10T00:00:00"/>
        <d v="2024-04-10T00:00:00"/>
        <d v="2024-01-24T00:00:00"/>
        <d v="2024-11-28T00:00:00"/>
        <d v="2024-04-19T00:00:00"/>
        <d v="2024-07-22T00:00:00"/>
        <d v="2024-05-07T00:00:00"/>
        <d v="2024-01-15T00:00:00"/>
      </sharedItems>
      <fieldGroup par="11"/>
    </cacheField>
    <cacheField name="Región" numFmtId="0">
      <sharedItems count="5">
        <s v="Ciudad de Panamá"/>
        <s v="Herrera"/>
        <s v="Colón"/>
        <s v="Veraguas"/>
        <s v="Chiriquí"/>
      </sharedItems>
    </cacheField>
    <cacheField name="Vendedor" numFmtId="0">
      <sharedItems/>
    </cacheField>
    <cacheField name="Producto" numFmtId="0">
      <sharedItems count="5">
        <s v="Hyundai Tucson"/>
        <s v="Toyota Corolla"/>
        <s v="Kia Sportage"/>
        <s v="Mazda CX-5"/>
        <s v="Suzuki Swift"/>
      </sharedItems>
    </cacheField>
    <cacheField name="Unidades Vendidas" numFmtId="4">
      <sharedItems containsSemiMixedTypes="0" containsString="0" containsNumber="1" containsInteger="1" minValue="1" maxValue="5"/>
    </cacheField>
    <cacheField name="Precio Unit. ($)" numFmtId="4">
      <sharedItems containsSemiMixedTypes="0" containsString="0" containsNumber="1" containsInteger="1" minValue="16000" maxValue="30000"/>
    </cacheField>
    <cacheField name="Costo Unit. ($)" numFmtId="4">
      <sharedItems containsSemiMixedTypes="0" containsString="0" containsNumber="1" containsInteger="1" minValue="12800" maxValue="24000"/>
    </cacheField>
    <cacheField name="MES" numFmtId="0">
      <sharedItems count="11">
        <s v="nov"/>
        <s v="mar"/>
        <s v="jul"/>
        <s v="sep"/>
        <s v="abr"/>
        <s v="feb"/>
        <s v="dic"/>
        <s v="may"/>
        <s v="ene"/>
        <s v="oct"/>
        <s v="ago"/>
      </sharedItems>
    </cacheField>
    <cacheField name="INGRESO" numFmtId="44">
      <sharedItems containsSemiMixedTypes="0" containsString="0" containsNumber="1" containsInteger="1" minValue="16000" maxValue="150000" count="22">
        <n v="56000"/>
        <n v="112500"/>
        <n v="140000"/>
        <n v="25000"/>
        <n v="50000"/>
        <n v="90000"/>
        <n v="30000"/>
        <n v="32000"/>
        <n v="100000"/>
        <n v="75000"/>
        <n v="120000"/>
        <n v="112000"/>
        <n v="125000"/>
        <n v="45000"/>
        <n v="16000"/>
        <n v="67500"/>
        <n v="84000"/>
        <n v="22500"/>
        <n v="60000"/>
        <n v="150000"/>
        <n v="80000"/>
        <n v="48000"/>
      </sharedItems>
    </cacheField>
    <cacheField name="Días (Fecha)" numFmtId="0" databaseField="0">
      <fieldGroup base="1">
        <rangePr groupBy="days" startDate="2024-01-06T00:00:00" endDate="2024-12-25T00:00:00"/>
        <groupItems count="368">
          <s v="&lt;01/06/2024"/>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12/25/2024"/>
        </groupItems>
      </fieldGroup>
    </cacheField>
    <cacheField name="Meses (Fecha)" numFmtId="0" databaseField="0">
      <fieldGroup base="1">
        <rangePr groupBy="months" startDate="2024-01-06T00:00:00" endDate="2024-12-25T00:00:00"/>
        <groupItems count="14">
          <s v="&lt;01/06/2024"/>
          <s v="ene"/>
          <s v="feb"/>
          <s v="mar"/>
          <s v="abr"/>
          <s v="may"/>
          <s v="jun"/>
          <s v="jul"/>
          <s v="ago"/>
          <s v="sep"/>
          <s v="oct"/>
          <s v="nov"/>
          <s v="dic"/>
          <s v="&gt;12/25/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V-001"/>
    <x v="0"/>
    <x v="0"/>
    <s v="Laura Torres"/>
    <x v="0"/>
    <n v="2"/>
    <n v="28000"/>
    <n v="22500"/>
    <x v="0"/>
    <x v="0"/>
  </r>
  <r>
    <s v="V-002"/>
    <x v="1"/>
    <x v="0"/>
    <s v="Sofía Castillo"/>
    <x v="1"/>
    <n v="5"/>
    <n v="22500"/>
    <n v="18000"/>
    <x v="1"/>
    <x v="1"/>
  </r>
  <r>
    <s v="V-003"/>
    <x v="2"/>
    <x v="0"/>
    <s v="Ana Rodríguez"/>
    <x v="0"/>
    <n v="2"/>
    <n v="28000"/>
    <n v="22500"/>
    <x v="2"/>
    <x v="0"/>
  </r>
  <r>
    <s v="V-004"/>
    <x v="3"/>
    <x v="0"/>
    <s v="Sofía Castillo"/>
    <x v="0"/>
    <n v="5"/>
    <n v="28000"/>
    <n v="22500"/>
    <x v="3"/>
    <x v="2"/>
  </r>
  <r>
    <s v="V-005"/>
    <x v="4"/>
    <x v="1"/>
    <s v="Sofía Castillo"/>
    <x v="2"/>
    <n v="1"/>
    <n v="25000"/>
    <n v="20000"/>
    <x v="2"/>
    <x v="3"/>
  </r>
  <r>
    <s v="V-006"/>
    <x v="5"/>
    <x v="1"/>
    <s v="Laura Torres"/>
    <x v="2"/>
    <n v="2"/>
    <n v="25000"/>
    <n v="20000"/>
    <x v="1"/>
    <x v="4"/>
  </r>
  <r>
    <s v="V-007"/>
    <x v="6"/>
    <x v="2"/>
    <s v="Ana Rodríguez"/>
    <x v="1"/>
    <n v="4"/>
    <n v="22500"/>
    <n v="18000"/>
    <x v="4"/>
    <x v="5"/>
  </r>
  <r>
    <s v="V-008"/>
    <x v="7"/>
    <x v="2"/>
    <s v="Sofía Castillo"/>
    <x v="2"/>
    <n v="1"/>
    <n v="25000"/>
    <n v="20000"/>
    <x v="5"/>
    <x v="3"/>
  </r>
  <r>
    <s v="V-009"/>
    <x v="8"/>
    <x v="3"/>
    <s v="Ana Rodríguez"/>
    <x v="3"/>
    <n v="1"/>
    <n v="30000"/>
    <n v="24000"/>
    <x v="6"/>
    <x v="6"/>
  </r>
  <r>
    <s v="V-010"/>
    <x v="9"/>
    <x v="3"/>
    <s v="Laura Torres"/>
    <x v="4"/>
    <n v="2"/>
    <n v="16000"/>
    <n v="12800"/>
    <x v="3"/>
    <x v="7"/>
  </r>
  <r>
    <s v="V-011"/>
    <x v="10"/>
    <x v="0"/>
    <s v="Carlos Méndez"/>
    <x v="2"/>
    <n v="1"/>
    <n v="25000"/>
    <n v="20000"/>
    <x v="6"/>
    <x v="3"/>
  </r>
  <r>
    <s v="V-012"/>
    <x v="11"/>
    <x v="0"/>
    <s v="Miguel Ureña"/>
    <x v="2"/>
    <n v="4"/>
    <n v="25000"/>
    <n v="20000"/>
    <x v="4"/>
    <x v="8"/>
  </r>
  <r>
    <s v="V-013"/>
    <x v="12"/>
    <x v="2"/>
    <s v="Carlos Méndez"/>
    <x v="2"/>
    <n v="3"/>
    <n v="25000"/>
    <n v="20000"/>
    <x v="0"/>
    <x v="9"/>
  </r>
  <r>
    <s v="V-014"/>
    <x v="13"/>
    <x v="2"/>
    <s v="Ana Rodríguez"/>
    <x v="4"/>
    <n v="2"/>
    <n v="16000"/>
    <n v="12800"/>
    <x v="4"/>
    <x v="7"/>
  </r>
  <r>
    <s v="V-015"/>
    <x v="14"/>
    <x v="4"/>
    <s v="Carlos Méndez"/>
    <x v="3"/>
    <n v="4"/>
    <n v="30000"/>
    <n v="24000"/>
    <x v="3"/>
    <x v="10"/>
  </r>
  <r>
    <s v="V-016"/>
    <x v="15"/>
    <x v="3"/>
    <s v="Carlos Méndez"/>
    <x v="2"/>
    <n v="1"/>
    <n v="25000"/>
    <n v="20000"/>
    <x v="7"/>
    <x v="3"/>
  </r>
  <r>
    <s v="V-017"/>
    <x v="16"/>
    <x v="0"/>
    <s v="Laura Torres"/>
    <x v="3"/>
    <n v="3"/>
    <n v="30000"/>
    <n v="24000"/>
    <x v="4"/>
    <x v="5"/>
  </r>
  <r>
    <s v="V-018"/>
    <x v="17"/>
    <x v="3"/>
    <s v="Laura Torres"/>
    <x v="0"/>
    <n v="4"/>
    <n v="28000"/>
    <n v="22500"/>
    <x v="5"/>
    <x v="11"/>
  </r>
  <r>
    <s v="V-019"/>
    <x v="18"/>
    <x v="1"/>
    <s v="Carlos Méndez"/>
    <x v="2"/>
    <n v="2"/>
    <n v="25000"/>
    <n v="20000"/>
    <x v="2"/>
    <x v="4"/>
  </r>
  <r>
    <s v="V-020"/>
    <x v="19"/>
    <x v="3"/>
    <s v="Sofía Castillo"/>
    <x v="2"/>
    <n v="5"/>
    <n v="25000"/>
    <n v="20000"/>
    <x v="4"/>
    <x v="12"/>
  </r>
  <r>
    <s v="V-021"/>
    <x v="20"/>
    <x v="1"/>
    <s v="Laura Torres"/>
    <x v="0"/>
    <n v="2"/>
    <n v="28000"/>
    <n v="22500"/>
    <x v="2"/>
    <x v="0"/>
  </r>
  <r>
    <s v="V-022"/>
    <x v="21"/>
    <x v="0"/>
    <s v="Ana Rodríguez"/>
    <x v="1"/>
    <n v="2"/>
    <n v="22500"/>
    <n v="18000"/>
    <x v="3"/>
    <x v="13"/>
  </r>
  <r>
    <s v="V-023"/>
    <x v="22"/>
    <x v="1"/>
    <s v="Sofía Castillo"/>
    <x v="1"/>
    <n v="4"/>
    <n v="22500"/>
    <n v="18000"/>
    <x v="0"/>
    <x v="5"/>
  </r>
  <r>
    <s v="V-024"/>
    <x v="23"/>
    <x v="1"/>
    <s v="Sofía Castillo"/>
    <x v="2"/>
    <n v="5"/>
    <n v="25000"/>
    <n v="20000"/>
    <x v="2"/>
    <x v="12"/>
  </r>
  <r>
    <s v="V-025"/>
    <x v="24"/>
    <x v="0"/>
    <s v="Sofía Castillo"/>
    <x v="2"/>
    <n v="3"/>
    <n v="25000"/>
    <n v="20000"/>
    <x v="8"/>
    <x v="9"/>
  </r>
  <r>
    <s v="V-026"/>
    <x v="25"/>
    <x v="1"/>
    <s v="Carlos Méndez"/>
    <x v="3"/>
    <n v="1"/>
    <n v="30000"/>
    <n v="24000"/>
    <x v="5"/>
    <x v="6"/>
  </r>
  <r>
    <s v="V-027"/>
    <x v="26"/>
    <x v="2"/>
    <s v="Sofía Castillo"/>
    <x v="0"/>
    <n v="5"/>
    <n v="28000"/>
    <n v="22500"/>
    <x v="6"/>
    <x v="2"/>
  </r>
  <r>
    <s v="V-028"/>
    <x v="27"/>
    <x v="2"/>
    <s v="Sofía Castillo"/>
    <x v="4"/>
    <n v="2"/>
    <n v="16000"/>
    <n v="12800"/>
    <x v="5"/>
    <x v="7"/>
  </r>
  <r>
    <s v="V-029"/>
    <x v="28"/>
    <x v="4"/>
    <s v="Sofía Castillo"/>
    <x v="4"/>
    <n v="1"/>
    <n v="16000"/>
    <n v="12800"/>
    <x v="1"/>
    <x v="14"/>
  </r>
  <r>
    <s v="V-030"/>
    <x v="29"/>
    <x v="1"/>
    <s v="Ana Rodríguez"/>
    <x v="1"/>
    <n v="3"/>
    <n v="22500"/>
    <n v="18000"/>
    <x v="9"/>
    <x v="15"/>
  </r>
  <r>
    <s v="V-031"/>
    <x v="30"/>
    <x v="0"/>
    <s v="Carlos Méndez"/>
    <x v="4"/>
    <n v="1"/>
    <n v="16000"/>
    <n v="12800"/>
    <x v="7"/>
    <x v="14"/>
  </r>
  <r>
    <s v="V-032"/>
    <x v="31"/>
    <x v="1"/>
    <s v="Ana Rodríguez"/>
    <x v="4"/>
    <n v="2"/>
    <n v="16000"/>
    <n v="12800"/>
    <x v="5"/>
    <x v="7"/>
  </r>
  <r>
    <s v="V-033"/>
    <x v="32"/>
    <x v="1"/>
    <s v="Sofía Castillo"/>
    <x v="0"/>
    <n v="3"/>
    <n v="28000"/>
    <n v="22500"/>
    <x v="1"/>
    <x v="16"/>
  </r>
  <r>
    <s v="V-034"/>
    <x v="33"/>
    <x v="3"/>
    <s v="Miguel Ureña"/>
    <x v="0"/>
    <n v="5"/>
    <n v="28000"/>
    <n v="22500"/>
    <x v="3"/>
    <x v="2"/>
  </r>
  <r>
    <s v="V-035"/>
    <x v="34"/>
    <x v="4"/>
    <s v="Laura Torres"/>
    <x v="3"/>
    <n v="3"/>
    <n v="30000"/>
    <n v="24000"/>
    <x v="6"/>
    <x v="5"/>
  </r>
  <r>
    <s v="V-036"/>
    <x v="35"/>
    <x v="1"/>
    <s v="Ana Rodríguez"/>
    <x v="0"/>
    <n v="2"/>
    <n v="28000"/>
    <n v="22500"/>
    <x v="10"/>
    <x v="0"/>
  </r>
  <r>
    <s v="V-037"/>
    <x v="36"/>
    <x v="0"/>
    <s v="Sofía Castillo"/>
    <x v="4"/>
    <n v="2"/>
    <n v="16000"/>
    <n v="12800"/>
    <x v="5"/>
    <x v="7"/>
  </r>
  <r>
    <s v="V-038"/>
    <x v="37"/>
    <x v="0"/>
    <s v="Ana Rodríguez"/>
    <x v="1"/>
    <n v="2"/>
    <n v="22500"/>
    <n v="18000"/>
    <x v="9"/>
    <x v="13"/>
  </r>
  <r>
    <s v="V-039"/>
    <x v="38"/>
    <x v="2"/>
    <s v="Ana Rodríguez"/>
    <x v="4"/>
    <n v="2"/>
    <n v="16000"/>
    <n v="12800"/>
    <x v="5"/>
    <x v="7"/>
  </r>
  <r>
    <s v="V-040"/>
    <x v="39"/>
    <x v="1"/>
    <s v="Carlos Méndez"/>
    <x v="4"/>
    <n v="2"/>
    <n v="16000"/>
    <n v="12800"/>
    <x v="7"/>
    <x v="7"/>
  </r>
  <r>
    <s v="V-041"/>
    <x v="40"/>
    <x v="3"/>
    <s v="Miguel Ureña"/>
    <x v="0"/>
    <n v="4"/>
    <n v="28000"/>
    <n v="22500"/>
    <x v="6"/>
    <x v="11"/>
  </r>
  <r>
    <s v="V-042"/>
    <x v="41"/>
    <x v="0"/>
    <s v="Ana Rodríguez"/>
    <x v="3"/>
    <n v="3"/>
    <n v="30000"/>
    <n v="24000"/>
    <x v="2"/>
    <x v="5"/>
  </r>
  <r>
    <s v="V-043"/>
    <x v="42"/>
    <x v="1"/>
    <s v="Ana Rodríguez"/>
    <x v="1"/>
    <n v="1"/>
    <n v="22500"/>
    <n v="18000"/>
    <x v="2"/>
    <x v="17"/>
  </r>
  <r>
    <s v="V-044"/>
    <x v="43"/>
    <x v="2"/>
    <s v="Ana Rodríguez"/>
    <x v="0"/>
    <n v="2"/>
    <n v="28000"/>
    <n v="22500"/>
    <x v="2"/>
    <x v="0"/>
  </r>
  <r>
    <s v="V-045"/>
    <x v="44"/>
    <x v="1"/>
    <s v="Carlos Méndez"/>
    <x v="3"/>
    <n v="2"/>
    <n v="30000"/>
    <n v="24000"/>
    <x v="4"/>
    <x v="18"/>
  </r>
  <r>
    <s v="V-046"/>
    <x v="45"/>
    <x v="4"/>
    <s v="Ana Rodríguez"/>
    <x v="3"/>
    <n v="5"/>
    <n v="30000"/>
    <n v="24000"/>
    <x v="7"/>
    <x v="19"/>
  </r>
  <r>
    <s v="V-047"/>
    <x v="38"/>
    <x v="3"/>
    <s v="Ana Rodríguez"/>
    <x v="1"/>
    <n v="2"/>
    <n v="22500"/>
    <n v="18000"/>
    <x v="5"/>
    <x v="13"/>
  </r>
  <r>
    <s v="V-048"/>
    <x v="46"/>
    <x v="1"/>
    <s v="Miguel Ureña"/>
    <x v="0"/>
    <n v="4"/>
    <n v="28000"/>
    <n v="22500"/>
    <x v="1"/>
    <x v="11"/>
  </r>
  <r>
    <s v="V-049"/>
    <x v="47"/>
    <x v="1"/>
    <s v="Ana Rodríguez"/>
    <x v="3"/>
    <n v="3"/>
    <n v="30000"/>
    <n v="24000"/>
    <x v="8"/>
    <x v="5"/>
  </r>
  <r>
    <s v="V-050"/>
    <x v="48"/>
    <x v="1"/>
    <s v="Sofía Castillo"/>
    <x v="3"/>
    <n v="2"/>
    <n v="30000"/>
    <n v="24000"/>
    <x v="10"/>
    <x v="18"/>
  </r>
  <r>
    <s v="V-051"/>
    <x v="49"/>
    <x v="4"/>
    <s v="Ana Rodríguez"/>
    <x v="4"/>
    <n v="5"/>
    <n v="16000"/>
    <n v="12800"/>
    <x v="4"/>
    <x v="20"/>
  </r>
  <r>
    <s v="V-052"/>
    <x v="50"/>
    <x v="2"/>
    <s v="Ana Rodríguez"/>
    <x v="1"/>
    <n v="5"/>
    <n v="22500"/>
    <n v="18000"/>
    <x v="8"/>
    <x v="1"/>
  </r>
  <r>
    <s v="V-053"/>
    <x v="35"/>
    <x v="3"/>
    <s v="Carlos Méndez"/>
    <x v="1"/>
    <n v="5"/>
    <n v="22500"/>
    <n v="18000"/>
    <x v="10"/>
    <x v="1"/>
  </r>
  <r>
    <s v="V-054"/>
    <x v="27"/>
    <x v="4"/>
    <s v="Ana Rodríguez"/>
    <x v="4"/>
    <n v="1"/>
    <n v="16000"/>
    <n v="12800"/>
    <x v="5"/>
    <x v="14"/>
  </r>
  <r>
    <s v="V-055"/>
    <x v="51"/>
    <x v="4"/>
    <s v="Miguel Ureña"/>
    <x v="1"/>
    <n v="5"/>
    <n v="22500"/>
    <n v="18000"/>
    <x v="0"/>
    <x v="1"/>
  </r>
  <r>
    <s v="V-056"/>
    <x v="52"/>
    <x v="3"/>
    <s v="Ana Rodríguez"/>
    <x v="4"/>
    <n v="1"/>
    <n v="16000"/>
    <n v="12800"/>
    <x v="4"/>
    <x v="14"/>
  </r>
  <r>
    <s v="V-057"/>
    <x v="53"/>
    <x v="3"/>
    <s v="Sofía Castillo"/>
    <x v="4"/>
    <n v="3"/>
    <n v="16000"/>
    <n v="12800"/>
    <x v="2"/>
    <x v="21"/>
  </r>
  <r>
    <s v="V-058"/>
    <x v="54"/>
    <x v="2"/>
    <s v="Carlos Méndez"/>
    <x v="2"/>
    <n v="4"/>
    <n v="25000"/>
    <n v="20000"/>
    <x v="7"/>
    <x v="8"/>
  </r>
  <r>
    <s v="V-059"/>
    <x v="32"/>
    <x v="2"/>
    <s v="Miguel Ureña"/>
    <x v="2"/>
    <n v="1"/>
    <n v="25000"/>
    <n v="20000"/>
    <x v="1"/>
    <x v="3"/>
  </r>
  <r>
    <s v="V-060"/>
    <x v="55"/>
    <x v="3"/>
    <s v="Sofía Castillo"/>
    <x v="1"/>
    <n v="1"/>
    <n v="22500"/>
    <n v="18000"/>
    <x v="8"/>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B4A38E-38A2-4785-96C5-1EEF16690CB5}"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5:H12" firstHeaderRow="1" firstDataRow="2" firstDataCol="1"/>
  <pivotFields count="12">
    <pivotField showAll="0"/>
    <pivotField numFmtId="164" showAll="0">
      <items count="57">
        <item x="47"/>
        <item x="55"/>
        <item x="24"/>
        <item x="50"/>
        <item x="38"/>
        <item x="17"/>
        <item x="25"/>
        <item x="36"/>
        <item x="7"/>
        <item x="31"/>
        <item x="27"/>
        <item x="28"/>
        <item x="46"/>
        <item x="32"/>
        <item x="5"/>
        <item x="1"/>
        <item x="49"/>
        <item x="44"/>
        <item x="52"/>
        <item x="13"/>
        <item x="19"/>
        <item x="6"/>
        <item x="16"/>
        <item x="11"/>
        <item x="54"/>
        <item x="30"/>
        <item x="45"/>
        <item x="15"/>
        <item x="39"/>
        <item x="2"/>
        <item x="41"/>
        <item x="4"/>
        <item x="42"/>
        <item x="20"/>
        <item x="23"/>
        <item x="18"/>
        <item x="53"/>
        <item x="43"/>
        <item x="48"/>
        <item x="35"/>
        <item x="9"/>
        <item x="21"/>
        <item x="3"/>
        <item x="14"/>
        <item x="33"/>
        <item x="37"/>
        <item x="29"/>
        <item x="0"/>
        <item x="22"/>
        <item x="12"/>
        <item x="51"/>
        <item x="10"/>
        <item x="8"/>
        <item x="40"/>
        <item x="34"/>
        <item x="26"/>
        <item t="default"/>
      </items>
    </pivotField>
    <pivotField axis="axisCol" showAll="0">
      <items count="6">
        <item x="4"/>
        <item x="0"/>
        <item x="2"/>
        <item x="1"/>
        <item x="3"/>
        <item t="default"/>
      </items>
    </pivotField>
    <pivotField showAll="0"/>
    <pivotField axis="axisRow" showAll="0">
      <items count="6">
        <item x="0"/>
        <item x="2"/>
        <item x="3"/>
        <item x="4"/>
        <item x="1"/>
        <item t="default"/>
      </items>
    </pivotField>
    <pivotField numFmtId="4" showAll="0"/>
    <pivotField numFmtId="4" showAll="0"/>
    <pivotField numFmtId="4" showAll="0"/>
    <pivotField showAll="0"/>
    <pivotField dataField="1" numFmtId="44"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Fields count="1">
    <field x="2"/>
  </colFields>
  <colItems count="6">
    <i>
      <x/>
    </i>
    <i>
      <x v="1"/>
    </i>
    <i>
      <x v="2"/>
    </i>
    <i>
      <x v="3"/>
    </i>
    <i>
      <x v="4"/>
    </i>
    <i t="grand">
      <x/>
    </i>
  </colItems>
  <dataFields count="1">
    <dataField name="Suma de INGRESO" fld="9" baseField="0" baseItem="0" numFmtId="165"/>
  </dataFields>
  <formats count="2">
    <format dxfId="55">
      <pivotArea outline="0" collapsedLevelsAreSubtotals="1" fieldPosition="0"/>
    </format>
    <format dxfId="5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FDB04F-45AB-410A-8AC8-5E1080FC5D88}" name="TablaDinámica18"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4">
  <location ref="A36:B48" firstHeaderRow="1" firstDataRow="1" firstDataCol="1"/>
  <pivotFields count="12">
    <pivotField showAll="0"/>
    <pivotField numFmtId="164" showAll="0">
      <items count="57">
        <item x="47"/>
        <item x="55"/>
        <item x="24"/>
        <item x="50"/>
        <item x="38"/>
        <item x="17"/>
        <item x="25"/>
        <item x="36"/>
        <item x="7"/>
        <item x="31"/>
        <item x="27"/>
        <item x="28"/>
        <item x="46"/>
        <item x="32"/>
        <item x="5"/>
        <item x="1"/>
        <item x="49"/>
        <item x="44"/>
        <item x="52"/>
        <item x="13"/>
        <item x="19"/>
        <item x="6"/>
        <item x="16"/>
        <item x="11"/>
        <item x="54"/>
        <item x="30"/>
        <item x="45"/>
        <item x="15"/>
        <item x="39"/>
        <item x="2"/>
        <item x="41"/>
        <item x="4"/>
        <item x="42"/>
        <item x="20"/>
        <item x="23"/>
        <item x="18"/>
        <item x="53"/>
        <item x="43"/>
        <item x="48"/>
        <item x="35"/>
        <item x="9"/>
        <item x="21"/>
        <item x="3"/>
        <item x="14"/>
        <item x="33"/>
        <item x="37"/>
        <item x="29"/>
        <item x="0"/>
        <item x="22"/>
        <item x="12"/>
        <item x="51"/>
        <item x="10"/>
        <item x="8"/>
        <item x="40"/>
        <item x="34"/>
        <item x="26"/>
        <item t="default"/>
      </items>
    </pivotField>
    <pivotField showAll="0"/>
    <pivotField showAll="0"/>
    <pivotField showAll="0"/>
    <pivotField numFmtId="4" showAll="0"/>
    <pivotField numFmtId="4" showAll="0"/>
    <pivotField numFmtId="4" showAll="0"/>
    <pivotField axis="axisRow" showAll="0">
      <items count="12">
        <item x="8"/>
        <item x="5"/>
        <item x="1"/>
        <item x="4"/>
        <item x="7"/>
        <item x="2"/>
        <item x="10"/>
        <item x="3"/>
        <item x="9"/>
        <item x="0"/>
        <item x="6"/>
        <item t="default"/>
      </items>
    </pivotField>
    <pivotField dataField="1" numFmtId="44"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8"/>
  </rowFields>
  <rowItems count="12">
    <i>
      <x/>
    </i>
    <i>
      <x v="1"/>
    </i>
    <i>
      <x v="2"/>
    </i>
    <i>
      <x v="3"/>
    </i>
    <i>
      <x v="4"/>
    </i>
    <i>
      <x v="5"/>
    </i>
    <i>
      <x v="6"/>
    </i>
    <i>
      <x v="7"/>
    </i>
    <i>
      <x v="8"/>
    </i>
    <i>
      <x v="9"/>
    </i>
    <i>
      <x v="10"/>
    </i>
    <i t="grand">
      <x/>
    </i>
  </rowItems>
  <colItems count="1">
    <i/>
  </colItems>
  <dataFields count="1">
    <dataField name="Suma de INGRESO" fld="9" baseField="0" baseItem="0" numFmtId="165"/>
  </dataFields>
  <formats count="17">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fieldPosition="0">
        <references count="1">
          <reference field="8" count="0"/>
        </references>
      </pivotArea>
    </format>
    <format dxfId="27">
      <pivotArea dataOnly="0" labelOnly="1" grandRow="1" outline="0" fieldPosition="0"/>
    </format>
    <format dxfId="26">
      <pivotArea dataOnly="0" labelOnly="1" outline="0" axis="axisValues" fieldPosition="0"/>
    </format>
    <format dxfId="25">
      <pivotArea dataOnly="0" labelOnly="1" outline="0" axis="axisValues" fieldPosition="0"/>
    </format>
    <format dxfId="24">
      <pivotArea field="8" type="button" dataOnly="0" labelOnly="1" outline="0" axis="axisRow" fieldPosition="0"/>
    </format>
    <format dxfId="23">
      <pivotArea grandRow="1" outline="0" collapsedLevelsAreSubtotals="1" fieldPosition="0"/>
    </format>
    <format dxfId="22">
      <pivotArea dataOnly="0" labelOnly="1" grandRow="1" outline="0"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field="8" type="button" dataOnly="0" labelOnly="1" outline="0" axis="axisRow" fieldPosition="0"/>
    </format>
    <format dxfId="17">
      <pivotArea dataOnly="0" labelOnly="1" fieldPosition="0">
        <references count="1">
          <reference field="8" count="0"/>
        </references>
      </pivotArea>
    </format>
    <format dxfId="16">
      <pivotArea dataOnly="0" labelOnly="1" grandRow="1" outline="0" fieldPosition="0"/>
    </format>
    <format dxfId="15">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10"/>
          </reference>
        </references>
      </pivotArea>
    </chartFormat>
    <chartFormat chart="1" format="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92CC92-8539-46D8-BFCB-4D8312827738}" name="TablaDinámica17"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1">
  <location ref="A3:C9" firstHeaderRow="0" firstDataRow="1" firstDataCol="1"/>
  <pivotFields count="12">
    <pivotField showAll="0"/>
    <pivotField numFmtId="164" showAll="0">
      <items count="57">
        <item x="47"/>
        <item x="55"/>
        <item x="24"/>
        <item x="50"/>
        <item x="38"/>
        <item x="17"/>
        <item x="25"/>
        <item x="36"/>
        <item x="7"/>
        <item x="31"/>
        <item x="27"/>
        <item x="28"/>
        <item x="46"/>
        <item x="32"/>
        <item x="5"/>
        <item x="1"/>
        <item x="49"/>
        <item x="44"/>
        <item x="52"/>
        <item x="13"/>
        <item x="19"/>
        <item x="6"/>
        <item x="16"/>
        <item x="11"/>
        <item x="54"/>
        <item x="30"/>
        <item x="45"/>
        <item x="15"/>
        <item x="39"/>
        <item x="2"/>
        <item x="41"/>
        <item x="4"/>
        <item x="42"/>
        <item x="20"/>
        <item x="23"/>
        <item x="18"/>
        <item x="53"/>
        <item x="43"/>
        <item x="48"/>
        <item x="35"/>
        <item x="9"/>
        <item x="21"/>
        <item x="3"/>
        <item x="14"/>
        <item x="33"/>
        <item x="37"/>
        <item x="29"/>
        <item x="0"/>
        <item x="22"/>
        <item x="12"/>
        <item x="51"/>
        <item x="10"/>
        <item x="8"/>
        <item x="40"/>
        <item x="34"/>
        <item x="26"/>
        <item t="default"/>
      </items>
    </pivotField>
    <pivotField axis="axisRow" showAll="0">
      <items count="6">
        <item x="4"/>
        <item x="0"/>
        <item x="2"/>
        <item x="1"/>
        <item x="3"/>
        <item t="default"/>
      </items>
    </pivotField>
    <pivotField showAll="0"/>
    <pivotField showAll="0">
      <items count="6">
        <item x="0"/>
        <item x="2"/>
        <item x="3"/>
        <item x="4"/>
        <item x="1"/>
        <item t="default"/>
      </items>
    </pivotField>
    <pivotField dataField="1" numFmtId="4" showAll="0"/>
    <pivotField numFmtId="4" showAll="0"/>
    <pivotField numFmtId="4" showAll="0"/>
    <pivotField showAll="0"/>
    <pivotField dataField="1" numFmtId="44" showAll="0">
      <items count="23">
        <item x="14"/>
        <item x="17"/>
        <item x="3"/>
        <item x="6"/>
        <item x="7"/>
        <item x="13"/>
        <item x="21"/>
        <item x="4"/>
        <item x="0"/>
        <item x="18"/>
        <item x="15"/>
        <item x="9"/>
        <item x="20"/>
        <item x="16"/>
        <item x="5"/>
        <item x="8"/>
        <item x="11"/>
        <item x="1"/>
        <item x="10"/>
        <item x="12"/>
        <item x="2"/>
        <item x="19"/>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Fields count="1">
    <field x="-2"/>
  </colFields>
  <colItems count="2">
    <i>
      <x/>
    </i>
    <i i="1">
      <x v="1"/>
    </i>
  </colItems>
  <dataFields count="2">
    <dataField name="Suma de Unidades Vendidas" fld="5" baseField="0" baseItem="0" numFmtId="4"/>
    <dataField name="Suma de INGRESO" fld="9" baseField="0" baseItem="0" numFmtId="165"/>
  </dataFields>
  <formats count="21">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outline="0" fieldPosition="0">
        <references count="1">
          <reference field="4294967294" count="2">
            <x v="0"/>
            <x v="1"/>
          </reference>
        </references>
      </pivotArea>
    </format>
    <format dxfId="40">
      <pivotArea dataOnly="0" labelOnly="1" outline="0" fieldPosition="0">
        <references count="1">
          <reference field="4294967294" count="2">
            <x v="0"/>
            <x v="1"/>
          </reference>
        </references>
      </pivotArea>
    </format>
    <format dxfId="39">
      <pivotArea field="2" type="button" dataOnly="0" labelOnly="1" outline="0" axis="axisRow" fieldPosition="0"/>
    </format>
    <format dxfId="38">
      <pivotArea grandRow="1" outline="0" collapsedLevelsAreSubtotals="1" fieldPosition="0"/>
    </format>
    <format dxfId="37">
      <pivotArea dataOnly="0" labelOnly="1" grandRow="1" outline="0" fieldPosition="0"/>
    </format>
    <format dxfId="36">
      <pivotArea grandRow="1" outline="0" collapsedLevelsAreSubtotals="1" fieldPosition="0"/>
    </format>
    <format dxfId="35">
      <pivotArea field="2" grandRow="1" outline="0" collapsedLevelsAreSubtotals="1" axis="axisRow" fieldPosition="0">
        <references count="1">
          <reference field="4294967294" count="1" selected="0">
            <x v="0"/>
          </reference>
        </references>
      </pivotArea>
    </format>
    <format dxfId="34">
      <pivotArea collapsedLevelsAreSubtotals="1" fieldPosition="0">
        <references count="2">
          <reference field="4294967294" count="1" selected="0">
            <x v="1"/>
          </reference>
          <reference field="2" count="1">
            <x v="0"/>
          </reference>
        </references>
      </pivotArea>
    </format>
    <format dxfId="33">
      <pivotArea outline="0" collapsedLevelsAreSubtotals="1" fieldPosition="0">
        <references count="1">
          <reference field="4294967294" count="1" selected="0">
            <x v="1"/>
          </reference>
        </references>
      </pivotArea>
    </format>
    <format dxfId="32">
      <pivotArea collapsedLevelsAreSubtotals="1" fieldPosition="0">
        <references count="2">
          <reference field="4294967294" count="1" selected="0">
            <x v="0"/>
          </reference>
          <reference field="2" count="0"/>
        </references>
      </pivotArea>
    </format>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grandRow="1" outline="0" fieldPosition="0"/>
    </format>
    <format dxfId="7">
      <pivotArea dataOnly="0" labelOnly="1" outline="0" fieldPosition="0">
        <references count="1">
          <reference field="4294967294" count="2">
            <x v="0"/>
            <x v="1"/>
          </reference>
        </references>
      </pivotArea>
    </format>
  </formats>
  <chartFormats count="6">
    <chartFormat chart="0" format="51" series="1">
      <pivotArea type="data" outline="0" fieldPosition="0">
        <references count="1">
          <reference field="4294967294" count="1" selected="0">
            <x v="0"/>
          </reference>
        </references>
      </pivotArea>
    </chartFormat>
    <chartFormat chart="0" format="52" series="1">
      <pivotArea type="data" outline="0" fieldPosition="0">
        <references count="2">
          <reference field="4294967294" count="1" selected="0">
            <x v="0"/>
          </reference>
          <reference field="2" count="1" selected="0">
            <x v="1"/>
          </reference>
        </references>
      </pivotArea>
    </chartFormat>
    <chartFormat chart="0" format="53" series="1">
      <pivotArea type="data" outline="0" fieldPosition="0">
        <references count="2">
          <reference field="4294967294" count="1" selected="0">
            <x v="0"/>
          </reference>
          <reference field="2" count="1" selected="0">
            <x v="2"/>
          </reference>
        </references>
      </pivotArea>
    </chartFormat>
    <chartFormat chart="0" format="54" series="1">
      <pivotArea type="data" outline="0" fieldPosition="0">
        <references count="2">
          <reference field="4294967294" count="1" selected="0">
            <x v="0"/>
          </reference>
          <reference field="2" count="1" selected="0">
            <x v="3"/>
          </reference>
        </references>
      </pivotArea>
    </chartFormat>
    <chartFormat chart="0" format="55" series="1">
      <pivotArea type="data" outline="0" fieldPosition="0">
        <references count="2">
          <reference field="4294967294" count="1" selected="0">
            <x v="0"/>
          </reference>
          <reference field="2" count="1" selected="0">
            <x v="4"/>
          </reference>
        </references>
      </pivotArea>
    </chartFormat>
    <chartFormat chart="0" format="5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FCA8BA-693C-48ED-88DF-8B23B93DAC64}" name="TablaDinámica2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O3:P9" firstHeaderRow="1" firstDataRow="1" firstDataCol="1"/>
  <pivotFields count="12">
    <pivotField showAll="0"/>
    <pivotField numFmtId="164" showAll="0">
      <items count="57">
        <item x="47"/>
        <item x="55"/>
        <item x="24"/>
        <item x="50"/>
        <item x="38"/>
        <item x="17"/>
        <item x="25"/>
        <item x="36"/>
        <item x="7"/>
        <item x="31"/>
        <item x="27"/>
        <item x="28"/>
        <item x="46"/>
        <item x="32"/>
        <item x="5"/>
        <item x="1"/>
        <item x="49"/>
        <item x="44"/>
        <item x="52"/>
        <item x="13"/>
        <item x="19"/>
        <item x="6"/>
        <item x="16"/>
        <item x="11"/>
        <item x="54"/>
        <item x="30"/>
        <item x="45"/>
        <item x="15"/>
        <item x="39"/>
        <item x="2"/>
        <item x="41"/>
        <item x="4"/>
        <item x="42"/>
        <item x="20"/>
        <item x="23"/>
        <item x="18"/>
        <item x="53"/>
        <item x="43"/>
        <item x="48"/>
        <item x="35"/>
        <item x="9"/>
        <item x="21"/>
        <item x="3"/>
        <item x="14"/>
        <item x="33"/>
        <item x="37"/>
        <item x="29"/>
        <item x="0"/>
        <item x="22"/>
        <item x="12"/>
        <item x="51"/>
        <item x="10"/>
        <item x="8"/>
        <item x="40"/>
        <item x="34"/>
        <item x="26"/>
        <item t="default"/>
      </items>
    </pivotField>
    <pivotField showAll="0"/>
    <pivotField showAll="0"/>
    <pivotField axis="axisRow" showAll="0">
      <items count="6">
        <item x="0"/>
        <item x="2"/>
        <item x="3"/>
        <item x="4"/>
        <item x="1"/>
        <item t="default"/>
      </items>
    </pivotField>
    <pivotField numFmtId="4" showAll="0"/>
    <pivotField numFmtId="4" showAll="0"/>
    <pivotField numFmtId="4" showAll="0"/>
    <pivotField showAll="0"/>
    <pivotField dataField="1" numFmtId="44"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6">
    <i>
      <x/>
    </i>
    <i>
      <x v="1"/>
    </i>
    <i>
      <x v="2"/>
    </i>
    <i>
      <x v="3"/>
    </i>
    <i>
      <x v="4"/>
    </i>
    <i t="grand">
      <x/>
    </i>
  </rowItems>
  <colItems count="1">
    <i/>
  </colItems>
  <dataFields count="1">
    <dataField name="Suma de INGRESO" fld="9" baseField="0" baseItem="0" numFmtId="165"/>
  </dataFields>
  <formats count="13">
    <format dxfId="53">
      <pivotArea type="all" dataOnly="0" outline="0" fieldPosition="0"/>
    </format>
    <format dxfId="52">
      <pivotArea outline="0" collapsedLevelsAreSubtotals="1" fieldPosition="0"/>
    </format>
    <format dxfId="51">
      <pivotArea field="4" type="button" dataOnly="0" labelOnly="1" outline="0" axis="axisRow" fieldPosition="0"/>
    </format>
    <format dxfId="50">
      <pivotArea dataOnly="0" labelOnly="1" fieldPosition="0">
        <references count="1">
          <reference field="4" count="0"/>
        </references>
      </pivotArea>
    </format>
    <format dxfId="49">
      <pivotArea dataOnly="0" labelOnly="1" grandRow="1" outline="0" fieldPosition="0"/>
    </format>
    <format dxfId="48">
      <pivotArea dataOnly="0" labelOnly="1" outline="0" axis="axisValues" fieldPosition="0"/>
    </format>
    <format dxfId="47">
      <pivotArea outline="0" collapsedLevelsAreSubtotals="1" fieldPosition="0"/>
    </format>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4"/>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Verde">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1512766-AE03-40EE-A9BB-EE1FA1BEFE66}">
  <we:reference id="wa200005502" version="1.0.0.12" store="es-MX" storeType="OMEX"/>
  <we:alternateReferences>
    <we:reference id="WA200005502" version="1.0.0.12" store=""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5"/>
  <sheetViews>
    <sheetView zoomScale="78" workbookViewId="0">
      <pane ySplit="4" topLeftCell="A38" activePane="bottomLeft" state="frozen"/>
      <selection pane="bottomLeft" activeCell="F51" sqref="F51"/>
    </sheetView>
  </sheetViews>
  <sheetFormatPr baseColWidth="10" defaultColWidth="8.77734375" defaultRowHeight="14.4" x14ac:dyDescent="0.3"/>
  <cols>
    <col min="1" max="1" width="10" customWidth="1"/>
    <col min="2" max="2" width="12" customWidth="1"/>
    <col min="3" max="3" width="20" customWidth="1"/>
    <col min="4" max="4" width="18" customWidth="1"/>
    <col min="5" max="5" width="16" customWidth="1"/>
    <col min="6" max="6" width="18" customWidth="1"/>
    <col min="7" max="8" width="17" customWidth="1"/>
    <col min="10" max="10" width="15.21875" bestFit="1" customWidth="1"/>
    <col min="11" max="11" width="9" bestFit="1" customWidth="1"/>
  </cols>
  <sheetData>
    <row r="1" spans="1:11" ht="17.399999999999999" x14ac:dyDescent="0.35">
      <c r="A1" s="1" t="s">
        <v>166</v>
      </c>
    </row>
    <row r="2" spans="1:11" ht="34.950000000000003" customHeight="1" x14ac:dyDescent="0.3">
      <c r="A2" s="29" t="s">
        <v>0</v>
      </c>
      <c r="B2" s="30"/>
      <c r="C2" s="30"/>
      <c r="D2" s="30"/>
      <c r="E2" s="30"/>
      <c r="F2" s="30"/>
      <c r="G2" s="30"/>
      <c r="H2" s="30"/>
    </row>
    <row r="4" spans="1:11" ht="30" customHeight="1" x14ac:dyDescent="0.3">
      <c r="A4" s="2" t="s">
        <v>1</v>
      </c>
      <c r="B4" s="2" t="s">
        <v>2</v>
      </c>
      <c r="C4" s="2" t="s">
        <v>3</v>
      </c>
      <c r="D4" s="2" t="s">
        <v>4</v>
      </c>
      <c r="E4" s="2" t="s">
        <v>5</v>
      </c>
      <c r="F4" s="2" t="s">
        <v>6</v>
      </c>
      <c r="G4" s="2" t="s">
        <v>7</v>
      </c>
      <c r="H4" s="2" t="s">
        <v>8</v>
      </c>
      <c r="I4" s="21" t="s">
        <v>171</v>
      </c>
      <c r="J4" s="21" t="s">
        <v>172</v>
      </c>
    </row>
    <row r="5" spans="1:11" x14ac:dyDescent="0.3">
      <c r="A5" s="3" t="s">
        <v>9</v>
      </c>
      <c r="B5" s="4">
        <v>45600</v>
      </c>
      <c r="C5" s="3" t="s">
        <v>10</v>
      </c>
      <c r="D5" s="3" t="s">
        <v>11</v>
      </c>
      <c r="E5" s="3" t="s">
        <v>12</v>
      </c>
      <c r="F5" s="5">
        <v>2</v>
      </c>
      <c r="G5" s="26">
        <v>28000</v>
      </c>
      <c r="H5" s="26">
        <v>22500</v>
      </c>
      <c r="I5" t="str">
        <f>TEXT(B5,"MMM")</f>
        <v>nov</v>
      </c>
      <c r="J5" s="22">
        <f>F5*G5</f>
        <v>56000</v>
      </c>
      <c r="K5" s="15"/>
    </row>
    <row r="6" spans="1:11" x14ac:dyDescent="0.3">
      <c r="A6" s="6" t="s">
        <v>13</v>
      </c>
      <c r="B6" s="7">
        <v>45375</v>
      </c>
      <c r="C6" s="6" t="s">
        <v>10</v>
      </c>
      <c r="D6" s="6" t="s">
        <v>14</v>
      </c>
      <c r="E6" s="6" t="s">
        <v>15</v>
      </c>
      <c r="F6" s="8">
        <v>5</v>
      </c>
      <c r="G6" s="27">
        <v>22500</v>
      </c>
      <c r="H6" s="27">
        <v>18000</v>
      </c>
      <c r="I6" t="str">
        <f t="shared" ref="I6:I64" si="0">TEXT(B6,"MMM")</f>
        <v>mar</v>
      </c>
      <c r="J6" s="22">
        <f t="shared" ref="J6:J64" si="1">F6*G6</f>
        <v>112500</v>
      </c>
    </row>
    <row r="7" spans="1:11" x14ac:dyDescent="0.3">
      <c r="A7" s="3" t="s">
        <v>16</v>
      </c>
      <c r="B7" s="4">
        <v>45475</v>
      </c>
      <c r="C7" s="3" t="s">
        <v>10</v>
      </c>
      <c r="D7" s="3" t="s">
        <v>17</v>
      </c>
      <c r="E7" s="3" t="s">
        <v>12</v>
      </c>
      <c r="F7" s="5">
        <v>2</v>
      </c>
      <c r="G7" s="26">
        <v>28000</v>
      </c>
      <c r="H7" s="26">
        <v>22500</v>
      </c>
      <c r="I7" t="str">
        <f t="shared" si="0"/>
        <v>jul</v>
      </c>
      <c r="J7" s="22">
        <f t="shared" si="1"/>
        <v>56000</v>
      </c>
    </row>
    <row r="8" spans="1:11" x14ac:dyDescent="0.3">
      <c r="A8" s="6" t="s">
        <v>18</v>
      </c>
      <c r="B8" s="7">
        <v>45555</v>
      </c>
      <c r="C8" s="6" t="s">
        <v>10</v>
      </c>
      <c r="D8" s="6" t="s">
        <v>14</v>
      </c>
      <c r="E8" s="6" t="s">
        <v>12</v>
      </c>
      <c r="F8" s="8">
        <v>5</v>
      </c>
      <c r="G8" s="27">
        <v>28000</v>
      </c>
      <c r="H8" s="27">
        <v>22500</v>
      </c>
      <c r="I8" t="str">
        <f t="shared" si="0"/>
        <v>sep</v>
      </c>
      <c r="J8" s="22">
        <f t="shared" si="1"/>
        <v>140000</v>
      </c>
    </row>
    <row r="9" spans="1:11" x14ac:dyDescent="0.3">
      <c r="A9" s="3" t="s">
        <v>19</v>
      </c>
      <c r="B9" s="4">
        <v>45481</v>
      </c>
      <c r="C9" s="3" t="s">
        <v>20</v>
      </c>
      <c r="D9" s="3" t="s">
        <v>14</v>
      </c>
      <c r="E9" s="3" t="s">
        <v>21</v>
      </c>
      <c r="F9" s="5">
        <v>1</v>
      </c>
      <c r="G9" s="26">
        <v>25000</v>
      </c>
      <c r="H9" s="26">
        <v>20000</v>
      </c>
      <c r="I9" t="str">
        <f t="shared" si="0"/>
        <v>jul</v>
      </c>
      <c r="J9" s="22">
        <f t="shared" si="1"/>
        <v>25000</v>
      </c>
    </row>
    <row r="10" spans="1:11" x14ac:dyDescent="0.3">
      <c r="A10" s="6" t="s">
        <v>22</v>
      </c>
      <c r="B10" s="7">
        <v>45374</v>
      </c>
      <c r="C10" s="6" t="s">
        <v>20</v>
      </c>
      <c r="D10" s="6" t="s">
        <v>11</v>
      </c>
      <c r="E10" s="6" t="s">
        <v>21</v>
      </c>
      <c r="F10" s="8">
        <v>2</v>
      </c>
      <c r="G10" s="27">
        <v>25000</v>
      </c>
      <c r="H10" s="27">
        <v>20000</v>
      </c>
      <c r="I10" t="str">
        <f t="shared" si="0"/>
        <v>mar</v>
      </c>
      <c r="J10" s="22">
        <f t="shared" si="1"/>
        <v>50000</v>
      </c>
    </row>
    <row r="11" spans="1:11" x14ac:dyDescent="0.3">
      <c r="A11" s="3" t="s">
        <v>23</v>
      </c>
      <c r="B11" s="4">
        <v>45407</v>
      </c>
      <c r="C11" s="3" t="s">
        <v>24</v>
      </c>
      <c r="D11" s="3" t="s">
        <v>17</v>
      </c>
      <c r="E11" s="3" t="s">
        <v>15</v>
      </c>
      <c r="F11" s="5">
        <v>4</v>
      </c>
      <c r="G11" s="26">
        <v>22500</v>
      </c>
      <c r="H11" s="26">
        <v>18000</v>
      </c>
      <c r="I11" t="str">
        <f t="shared" si="0"/>
        <v>abr</v>
      </c>
      <c r="J11" s="22">
        <f t="shared" si="1"/>
        <v>90000</v>
      </c>
    </row>
    <row r="12" spans="1:11" x14ac:dyDescent="0.3">
      <c r="A12" s="6" t="s">
        <v>25</v>
      </c>
      <c r="B12" s="7">
        <v>45334</v>
      </c>
      <c r="C12" s="6" t="s">
        <v>24</v>
      </c>
      <c r="D12" s="6" t="s">
        <v>14</v>
      </c>
      <c r="E12" s="6" t="s">
        <v>21</v>
      </c>
      <c r="F12" s="8">
        <v>1</v>
      </c>
      <c r="G12" s="27">
        <v>25000</v>
      </c>
      <c r="H12" s="27">
        <v>20000</v>
      </c>
      <c r="I12" t="str">
        <f t="shared" si="0"/>
        <v>feb</v>
      </c>
      <c r="J12" s="22">
        <f t="shared" si="1"/>
        <v>25000</v>
      </c>
    </row>
    <row r="13" spans="1:11" x14ac:dyDescent="0.3">
      <c r="A13" s="3" t="s">
        <v>26</v>
      </c>
      <c r="B13" s="4">
        <v>45641</v>
      </c>
      <c r="C13" s="3" t="s">
        <v>27</v>
      </c>
      <c r="D13" s="3" t="s">
        <v>17</v>
      </c>
      <c r="E13" s="3" t="s">
        <v>28</v>
      </c>
      <c r="F13" s="5">
        <v>1</v>
      </c>
      <c r="G13" s="26">
        <v>30000</v>
      </c>
      <c r="H13" s="26">
        <v>24000</v>
      </c>
      <c r="I13" t="str">
        <f t="shared" si="0"/>
        <v>dic</v>
      </c>
      <c r="J13" s="22">
        <f t="shared" si="1"/>
        <v>30000</v>
      </c>
    </row>
    <row r="14" spans="1:11" x14ac:dyDescent="0.3">
      <c r="A14" s="6" t="s">
        <v>29</v>
      </c>
      <c r="B14" s="7">
        <v>45545</v>
      </c>
      <c r="C14" s="6" t="s">
        <v>27</v>
      </c>
      <c r="D14" s="6" t="s">
        <v>11</v>
      </c>
      <c r="E14" s="6" t="s">
        <v>30</v>
      </c>
      <c r="F14" s="8">
        <v>2</v>
      </c>
      <c r="G14" s="27">
        <v>16000</v>
      </c>
      <c r="H14" s="27">
        <v>12800</v>
      </c>
      <c r="I14" t="str">
        <f t="shared" si="0"/>
        <v>sep</v>
      </c>
      <c r="J14" s="22">
        <f t="shared" si="1"/>
        <v>32000</v>
      </c>
    </row>
    <row r="15" spans="1:11" x14ac:dyDescent="0.3">
      <c r="A15" s="3" t="s">
        <v>31</v>
      </c>
      <c r="B15" s="4">
        <v>45629</v>
      </c>
      <c r="C15" s="3" t="s">
        <v>10</v>
      </c>
      <c r="D15" s="3" t="s">
        <v>32</v>
      </c>
      <c r="E15" s="3" t="s">
        <v>21</v>
      </c>
      <c r="F15" s="5">
        <v>1</v>
      </c>
      <c r="G15" s="26">
        <v>25000</v>
      </c>
      <c r="H15" s="26">
        <v>20000</v>
      </c>
      <c r="I15" t="str">
        <f t="shared" si="0"/>
        <v>dic</v>
      </c>
      <c r="J15" s="22">
        <f t="shared" si="1"/>
        <v>25000</v>
      </c>
    </row>
    <row r="16" spans="1:11" x14ac:dyDescent="0.3">
      <c r="A16" s="6" t="s">
        <v>33</v>
      </c>
      <c r="B16" s="7">
        <v>45410</v>
      </c>
      <c r="C16" s="6" t="s">
        <v>10</v>
      </c>
      <c r="D16" s="6" t="s">
        <v>34</v>
      </c>
      <c r="E16" s="6" t="s">
        <v>21</v>
      </c>
      <c r="F16" s="8">
        <v>4</v>
      </c>
      <c r="G16" s="27">
        <v>25000</v>
      </c>
      <c r="H16" s="27">
        <v>20000</v>
      </c>
      <c r="I16" t="str">
        <f t="shared" si="0"/>
        <v>abr</v>
      </c>
      <c r="J16" s="22">
        <f t="shared" si="1"/>
        <v>100000</v>
      </c>
    </row>
    <row r="17" spans="1:10" x14ac:dyDescent="0.3">
      <c r="A17" s="3" t="s">
        <v>35</v>
      </c>
      <c r="B17" s="4">
        <v>45623</v>
      </c>
      <c r="C17" s="3" t="s">
        <v>24</v>
      </c>
      <c r="D17" s="3" t="s">
        <v>32</v>
      </c>
      <c r="E17" s="3" t="s">
        <v>21</v>
      </c>
      <c r="F17" s="5">
        <v>3</v>
      </c>
      <c r="G17" s="26">
        <v>25000</v>
      </c>
      <c r="H17" s="26">
        <v>20000</v>
      </c>
      <c r="I17" t="str">
        <f t="shared" si="0"/>
        <v>nov</v>
      </c>
      <c r="J17" s="22">
        <f t="shared" si="1"/>
        <v>75000</v>
      </c>
    </row>
    <row r="18" spans="1:10" x14ac:dyDescent="0.3">
      <c r="A18" s="6" t="s">
        <v>36</v>
      </c>
      <c r="B18" s="7">
        <v>45404</v>
      </c>
      <c r="C18" s="6" t="s">
        <v>24</v>
      </c>
      <c r="D18" s="6" t="s">
        <v>17</v>
      </c>
      <c r="E18" s="6" t="s">
        <v>30</v>
      </c>
      <c r="F18" s="8">
        <v>2</v>
      </c>
      <c r="G18" s="27">
        <v>16000</v>
      </c>
      <c r="H18" s="27">
        <v>12800</v>
      </c>
      <c r="I18" t="str">
        <f t="shared" si="0"/>
        <v>abr</v>
      </c>
      <c r="J18" s="22">
        <f t="shared" si="1"/>
        <v>32000</v>
      </c>
    </row>
    <row r="19" spans="1:10" x14ac:dyDescent="0.3">
      <c r="A19" s="3" t="s">
        <v>37</v>
      </c>
      <c r="B19" s="4">
        <v>45559</v>
      </c>
      <c r="C19" s="3" t="s">
        <v>38</v>
      </c>
      <c r="D19" s="3" t="s">
        <v>32</v>
      </c>
      <c r="E19" s="3" t="s">
        <v>28</v>
      </c>
      <c r="F19" s="5">
        <v>4</v>
      </c>
      <c r="G19" s="26">
        <v>30000</v>
      </c>
      <c r="H19" s="26">
        <v>24000</v>
      </c>
      <c r="I19" t="str">
        <f t="shared" si="0"/>
        <v>sep</v>
      </c>
      <c r="J19" s="22">
        <f t="shared" si="1"/>
        <v>120000</v>
      </c>
    </row>
    <row r="20" spans="1:10" x14ac:dyDescent="0.3">
      <c r="A20" s="6" t="s">
        <v>39</v>
      </c>
      <c r="B20" s="7">
        <v>45433</v>
      </c>
      <c r="C20" s="6" t="s">
        <v>27</v>
      </c>
      <c r="D20" s="6" t="s">
        <v>32</v>
      </c>
      <c r="E20" s="6" t="s">
        <v>21</v>
      </c>
      <c r="F20" s="8">
        <v>1</v>
      </c>
      <c r="G20" s="27">
        <v>25000</v>
      </c>
      <c r="H20" s="27">
        <v>20000</v>
      </c>
      <c r="I20" t="str">
        <f t="shared" si="0"/>
        <v>may</v>
      </c>
      <c r="J20" s="22">
        <f t="shared" si="1"/>
        <v>25000</v>
      </c>
    </row>
    <row r="21" spans="1:10" x14ac:dyDescent="0.3">
      <c r="A21" s="3" t="s">
        <v>40</v>
      </c>
      <c r="B21" s="4">
        <v>45409</v>
      </c>
      <c r="C21" s="3" t="s">
        <v>10</v>
      </c>
      <c r="D21" s="3" t="s">
        <v>11</v>
      </c>
      <c r="E21" s="3" t="s">
        <v>28</v>
      </c>
      <c r="F21" s="5">
        <v>3</v>
      </c>
      <c r="G21" s="26">
        <v>30000</v>
      </c>
      <c r="H21" s="26">
        <v>24000</v>
      </c>
      <c r="I21" t="str">
        <f t="shared" si="0"/>
        <v>abr</v>
      </c>
      <c r="J21" s="22">
        <f t="shared" si="1"/>
        <v>90000</v>
      </c>
    </row>
    <row r="22" spans="1:10" x14ac:dyDescent="0.3">
      <c r="A22" s="6" t="s">
        <v>41</v>
      </c>
      <c r="B22" s="7">
        <v>45329</v>
      </c>
      <c r="C22" s="6" t="s">
        <v>27</v>
      </c>
      <c r="D22" s="6" t="s">
        <v>11</v>
      </c>
      <c r="E22" s="6" t="s">
        <v>12</v>
      </c>
      <c r="F22" s="8">
        <v>4</v>
      </c>
      <c r="G22" s="27">
        <v>28000</v>
      </c>
      <c r="H22" s="27">
        <v>22500</v>
      </c>
      <c r="I22" t="str">
        <f t="shared" si="0"/>
        <v>feb</v>
      </c>
      <c r="J22" s="22">
        <f t="shared" si="1"/>
        <v>112000</v>
      </c>
    </row>
    <row r="23" spans="1:10" x14ac:dyDescent="0.3">
      <c r="A23" s="3" t="s">
        <v>42</v>
      </c>
      <c r="B23" s="4">
        <v>45494</v>
      </c>
      <c r="C23" s="3" t="s">
        <v>20</v>
      </c>
      <c r="D23" s="3" t="s">
        <v>32</v>
      </c>
      <c r="E23" s="3" t="s">
        <v>21</v>
      </c>
      <c r="F23" s="5">
        <v>2</v>
      </c>
      <c r="G23" s="26">
        <v>25000</v>
      </c>
      <c r="H23" s="26">
        <v>20000</v>
      </c>
      <c r="I23" t="str">
        <f t="shared" si="0"/>
        <v>jul</v>
      </c>
      <c r="J23" s="22">
        <f t="shared" si="1"/>
        <v>50000</v>
      </c>
    </row>
    <row r="24" spans="1:10" x14ac:dyDescent="0.3">
      <c r="A24" s="6" t="s">
        <v>43</v>
      </c>
      <c r="B24" s="7">
        <v>45406</v>
      </c>
      <c r="C24" s="6" t="s">
        <v>27</v>
      </c>
      <c r="D24" s="6" t="s">
        <v>14</v>
      </c>
      <c r="E24" s="6" t="s">
        <v>21</v>
      </c>
      <c r="F24" s="8">
        <v>5</v>
      </c>
      <c r="G24" s="27">
        <v>25000</v>
      </c>
      <c r="H24" s="27">
        <v>20000</v>
      </c>
      <c r="I24" t="str">
        <f t="shared" si="0"/>
        <v>abr</v>
      </c>
      <c r="J24" s="22">
        <f t="shared" si="1"/>
        <v>125000</v>
      </c>
    </row>
    <row r="25" spans="1:10" x14ac:dyDescent="0.3">
      <c r="A25" s="3" t="s">
        <v>44</v>
      </c>
      <c r="B25" s="4">
        <v>45492</v>
      </c>
      <c r="C25" s="3" t="s">
        <v>20</v>
      </c>
      <c r="D25" s="3" t="s">
        <v>11</v>
      </c>
      <c r="E25" s="3" t="s">
        <v>12</v>
      </c>
      <c r="F25" s="5">
        <v>2</v>
      </c>
      <c r="G25" s="26">
        <v>28000</v>
      </c>
      <c r="H25" s="26">
        <v>22500</v>
      </c>
      <c r="I25" t="str">
        <f t="shared" si="0"/>
        <v>jul</v>
      </c>
      <c r="J25" s="22">
        <f t="shared" si="1"/>
        <v>56000</v>
      </c>
    </row>
    <row r="26" spans="1:10" x14ac:dyDescent="0.3">
      <c r="A26" s="6" t="s">
        <v>45</v>
      </c>
      <c r="B26" s="7">
        <v>45551</v>
      </c>
      <c r="C26" s="6" t="s">
        <v>10</v>
      </c>
      <c r="D26" s="6" t="s">
        <v>17</v>
      </c>
      <c r="E26" s="6" t="s">
        <v>15</v>
      </c>
      <c r="F26" s="8">
        <v>2</v>
      </c>
      <c r="G26" s="27">
        <v>22500</v>
      </c>
      <c r="H26" s="27">
        <v>18000</v>
      </c>
      <c r="I26" t="str">
        <f t="shared" si="0"/>
        <v>sep</v>
      </c>
      <c r="J26" s="22">
        <f t="shared" si="1"/>
        <v>45000</v>
      </c>
    </row>
    <row r="27" spans="1:10" x14ac:dyDescent="0.3">
      <c r="A27" s="3" t="s">
        <v>46</v>
      </c>
      <c r="B27" s="4">
        <v>45602</v>
      </c>
      <c r="C27" s="3" t="s">
        <v>20</v>
      </c>
      <c r="D27" s="3" t="s">
        <v>14</v>
      </c>
      <c r="E27" s="3" t="s">
        <v>15</v>
      </c>
      <c r="F27" s="5">
        <v>4</v>
      </c>
      <c r="G27" s="26">
        <v>22500</v>
      </c>
      <c r="H27" s="26">
        <v>18000</v>
      </c>
      <c r="I27" t="str">
        <f t="shared" si="0"/>
        <v>nov</v>
      </c>
      <c r="J27" s="22">
        <f t="shared" si="1"/>
        <v>90000</v>
      </c>
    </row>
    <row r="28" spans="1:10" x14ac:dyDescent="0.3">
      <c r="A28" s="6" t="s">
        <v>47</v>
      </c>
      <c r="B28" s="7">
        <v>45493</v>
      </c>
      <c r="C28" s="6" t="s">
        <v>20</v>
      </c>
      <c r="D28" s="6" t="s">
        <v>14</v>
      </c>
      <c r="E28" s="6" t="s">
        <v>21</v>
      </c>
      <c r="F28" s="8">
        <v>5</v>
      </c>
      <c r="G28" s="27">
        <v>25000</v>
      </c>
      <c r="H28" s="27">
        <v>20000</v>
      </c>
      <c r="I28" t="str">
        <f t="shared" si="0"/>
        <v>jul</v>
      </c>
      <c r="J28" s="22">
        <f t="shared" si="1"/>
        <v>125000</v>
      </c>
    </row>
    <row r="29" spans="1:10" x14ac:dyDescent="0.3">
      <c r="A29" s="3" t="s">
        <v>48</v>
      </c>
      <c r="B29" s="4">
        <v>45313</v>
      </c>
      <c r="C29" s="3" t="s">
        <v>10</v>
      </c>
      <c r="D29" s="3" t="s">
        <v>14</v>
      </c>
      <c r="E29" s="3" t="s">
        <v>21</v>
      </c>
      <c r="F29" s="5">
        <v>3</v>
      </c>
      <c r="G29" s="26">
        <v>25000</v>
      </c>
      <c r="H29" s="26">
        <v>20000</v>
      </c>
      <c r="I29" t="str">
        <f t="shared" si="0"/>
        <v>ene</v>
      </c>
      <c r="J29" s="22">
        <f t="shared" si="1"/>
        <v>75000</v>
      </c>
    </row>
    <row r="30" spans="1:10" x14ac:dyDescent="0.3">
      <c r="A30" s="6" t="s">
        <v>49</v>
      </c>
      <c r="B30" s="7">
        <v>45332</v>
      </c>
      <c r="C30" s="6" t="s">
        <v>20</v>
      </c>
      <c r="D30" s="6" t="s">
        <v>32</v>
      </c>
      <c r="E30" s="6" t="s">
        <v>28</v>
      </c>
      <c r="F30" s="8">
        <v>1</v>
      </c>
      <c r="G30" s="27">
        <v>30000</v>
      </c>
      <c r="H30" s="27">
        <v>24000</v>
      </c>
      <c r="I30" t="str">
        <f t="shared" si="0"/>
        <v>feb</v>
      </c>
      <c r="J30" s="22">
        <f t="shared" si="1"/>
        <v>30000</v>
      </c>
    </row>
    <row r="31" spans="1:10" x14ac:dyDescent="0.3">
      <c r="A31" s="3" t="s">
        <v>50</v>
      </c>
      <c r="B31" s="4">
        <v>45650</v>
      </c>
      <c r="C31" s="3" t="s">
        <v>24</v>
      </c>
      <c r="D31" s="3" t="s">
        <v>14</v>
      </c>
      <c r="E31" s="3" t="s">
        <v>12</v>
      </c>
      <c r="F31" s="5">
        <v>5</v>
      </c>
      <c r="G31" s="26">
        <v>28000</v>
      </c>
      <c r="H31" s="26">
        <v>22500</v>
      </c>
      <c r="I31" t="str">
        <f t="shared" si="0"/>
        <v>dic</v>
      </c>
      <c r="J31" s="22">
        <f t="shared" si="1"/>
        <v>140000</v>
      </c>
    </row>
    <row r="32" spans="1:10" x14ac:dyDescent="0.3">
      <c r="A32" s="6" t="s">
        <v>51</v>
      </c>
      <c r="B32" s="7">
        <v>45350</v>
      </c>
      <c r="C32" s="6" t="s">
        <v>24</v>
      </c>
      <c r="D32" s="6" t="s">
        <v>14</v>
      </c>
      <c r="E32" s="6" t="s">
        <v>30</v>
      </c>
      <c r="F32" s="8">
        <v>2</v>
      </c>
      <c r="G32" s="27">
        <v>16000</v>
      </c>
      <c r="H32" s="27">
        <v>12800</v>
      </c>
      <c r="I32" t="str">
        <f t="shared" si="0"/>
        <v>feb</v>
      </c>
      <c r="J32" s="22">
        <f t="shared" si="1"/>
        <v>32000</v>
      </c>
    </row>
    <row r="33" spans="1:10" x14ac:dyDescent="0.3">
      <c r="A33" s="3" t="s">
        <v>52</v>
      </c>
      <c r="B33" s="4">
        <v>45363</v>
      </c>
      <c r="C33" s="3" t="s">
        <v>38</v>
      </c>
      <c r="D33" s="3" t="s">
        <v>14</v>
      </c>
      <c r="E33" s="3" t="s">
        <v>30</v>
      </c>
      <c r="F33" s="5">
        <v>1</v>
      </c>
      <c r="G33" s="26">
        <v>16000</v>
      </c>
      <c r="H33" s="26">
        <v>12800</v>
      </c>
      <c r="I33" t="str">
        <f t="shared" si="0"/>
        <v>mar</v>
      </c>
      <c r="J33" s="22">
        <f t="shared" si="1"/>
        <v>16000</v>
      </c>
    </row>
    <row r="34" spans="1:10" x14ac:dyDescent="0.3">
      <c r="A34" s="6" t="s">
        <v>53</v>
      </c>
      <c r="B34" s="7">
        <v>45576</v>
      </c>
      <c r="C34" s="6" t="s">
        <v>20</v>
      </c>
      <c r="D34" s="6" t="s">
        <v>17</v>
      </c>
      <c r="E34" s="6" t="s">
        <v>15</v>
      </c>
      <c r="F34" s="8">
        <v>3</v>
      </c>
      <c r="G34" s="27">
        <v>22500</v>
      </c>
      <c r="H34" s="27">
        <v>18000</v>
      </c>
      <c r="I34" t="str">
        <f t="shared" si="0"/>
        <v>oct</v>
      </c>
      <c r="J34" s="22">
        <f t="shared" si="1"/>
        <v>67500</v>
      </c>
    </row>
    <row r="35" spans="1:10" x14ac:dyDescent="0.3">
      <c r="A35" s="3" t="s">
        <v>54</v>
      </c>
      <c r="B35" s="4">
        <v>45420</v>
      </c>
      <c r="C35" s="3" t="s">
        <v>10</v>
      </c>
      <c r="D35" s="3" t="s">
        <v>32</v>
      </c>
      <c r="E35" s="3" t="s">
        <v>30</v>
      </c>
      <c r="F35" s="5">
        <v>1</v>
      </c>
      <c r="G35" s="26">
        <v>16000</v>
      </c>
      <c r="H35" s="26">
        <v>12800</v>
      </c>
      <c r="I35" t="str">
        <f t="shared" si="0"/>
        <v>may</v>
      </c>
      <c r="J35" s="22">
        <f t="shared" si="1"/>
        <v>16000</v>
      </c>
    </row>
    <row r="36" spans="1:10" x14ac:dyDescent="0.3">
      <c r="A36" s="6" t="s">
        <v>55</v>
      </c>
      <c r="B36" s="7">
        <v>45346</v>
      </c>
      <c r="C36" s="6" t="s">
        <v>20</v>
      </c>
      <c r="D36" s="6" t="s">
        <v>17</v>
      </c>
      <c r="E36" s="6" t="s">
        <v>30</v>
      </c>
      <c r="F36" s="8">
        <v>2</v>
      </c>
      <c r="G36" s="27">
        <v>16000</v>
      </c>
      <c r="H36" s="27">
        <v>12800</v>
      </c>
      <c r="I36" t="str">
        <f t="shared" si="0"/>
        <v>feb</v>
      </c>
      <c r="J36" s="22">
        <f t="shared" si="1"/>
        <v>32000</v>
      </c>
    </row>
    <row r="37" spans="1:10" x14ac:dyDescent="0.3">
      <c r="A37" s="3" t="s">
        <v>56</v>
      </c>
      <c r="B37" s="4">
        <v>45373</v>
      </c>
      <c r="C37" s="3" t="s">
        <v>20</v>
      </c>
      <c r="D37" s="3" t="s">
        <v>14</v>
      </c>
      <c r="E37" s="3" t="s">
        <v>12</v>
      </c>
      <c r="F37" s="5">
        <v>3</v>
      </c>
      <c r="G37" s="26">
        <v>28000</v>
      </c>
      <c r="H37" s="26">
        <v>22500</v>
      </c>
      <c r="I37" t="str">
        <f t="shared" si="0"/>
        <v>mar</v>
      </c>
      <c r="J37" s="22">
        <f t="shared" si="1"/>
        <v>84000</v>
      </c>
    </row>
    <row r="38" spans="1:10" x14ac:dyDescent="0.3">
      <c r="A38" s="6" t="s">
        <v>57</v>
      </c>
      <c r="B38" s="7">
        <v>45563</v>
      </c>
      <c r="C38" s="6" t="s">
        <v>27</v>
      </c>
      <c r="D38" s="6" t="s">
        <v>34</v>
      </c>
      <c r="E38" s="6" t="s">
        <v>12</v>
      </c>
      <c r="F38" s="8">
        <v>5</v>
      </c>
      <c r="G38" s="27">
        <v>28000</v>
      </c>
      <c r="H38" s="27">
        <v>22500</v>
      </c>
      <c r="I38" t="str">
        <f t="shared" si="0"/>
        <v>sep</v>
      </c>
      <c r="J38" s="22">
        <f t="shared" si="1"/>
        <v>140000</v>
      </c>
    </row>
    <row r="39" spans="1:10" x14ac:dyDescent="0.3">
      <c r="A39" s="3" t="s">
        <v>58</v>
      </c>
      <c r="B39" s="4">
        <v>45649</v>
      </c>
      <c r="C39" s="3" t="s">
        <v>38</v>
      </c>
      <c r="D39" s="3" t="s">
        <v>11</v>
      </c>
      <c r="E39" s="3" t="s">
        <v>28</v>
      </c>
      <c r="F39" s="5">
        <v>3</v>
      </c>
      <c r="G39" s="26">
        <v>30000</v>
      </c>
      <c r="H39" s="26">
        <v>24000</v>
      </c>
      <c r="I39" t="str">
        <f t="shared" si="0"/>
        <v>dic</v>
      </c>
      <c r="J39" s="22">
        <f t="shared" si="1"/>
        <v>90000</v>
      </c>
    </row>
    <row r="40" spans="1:10" x14ac:dyDescent="0.3">
      <c r="A40" s="6" t="s">
        <v>59</v>
      </c>
      <c r="B40" s="7">
        <v>45521</v>
      </c>
      <c r="C40" s="6" t="s">
        <v>20</v>
      </c>
      <c r="D40" s="6" t="s">
        <v>17</v>
      </c>
      <c r="E40" s="6" t="s">
        <v>12</v>
      </c>
      <c r="F40" s="8">
        <v>2</v>
      </c>
      <c r="G40" s="27">
        <v>28000</v>
      </c>
      <c r="H40" s="27">
        <v>22500</v>
      </c>
      <c r="I40" t="str">
        <f t="shared" si="0"/>
        <v>ago</v>
      </c>
      <c r="J40" s="22">
        <f t="shared" si="1"/>
        <v>56000</v>
      </c>
    </row>
    <row r="41" spans="1:10" x14ac:dyDescent="0.3">
      <c r="A41" s="3" t="s">
        <v>60</v>
      </c>
      <c r="B41" s="4">
        <v>45333</v>
      </c>
      <c r="C41" s="3" t="s">
        <v>10</v>
      </c>
      <c r="D41" s="3" t="s">
        <v>14</v>
      </c>
      <c r="E41" s="3" t="s">
        <v>30</v>
      </c>
      <c r="F41" s="5">
        <v>2</v>
      </c>
      <c r="G41" s="26">
        <v>16000</v>
      </c>
      <c r="H41" s="26">
        <v>12800</v>
      </c>
      <c r="I41" t="str">
        <f t="shared" si="0"/>
        <v>feb</v>
      </c>
      <c r="J41" s="22">
        <f t="shared" si="1"/>
        <v>32000</v>
      </c>
    </row>
    <row r="42" spans="1:10" x14ac:dyDescent="0.3">
      <c r="A42" s="6" t="s">
        <v>61</v>
      </c>
      <c r="B42" s="7">
        <v>45573</v>
      </c>
      <c r="C42" s="6" t="s">
        <v>10</v>
      </c>
      <c r="D42" s="6" t="s">
        <v>17</v>
      </c>
      <c r="E42" s="6" t="s">
        <v>15</v>
      </c>
      <c r="F42" s="8">
        <v>2</v>
      </c>
      <c r="G42" s="27">
        <v>22500</v>
      </c>
      <c r="H42" s="27">
        <v>18000</v>
      </c>
      <c r="I42" t="str">
        <f t="shared" si="0"/>
        <v>oct</v>
      </c>
      <c r="J42" s="22">
        <f t="shared" si="1"/>
        <v>45000</v>
      </c>
    </row>
    <row r="43" spans="1:10" x14ac:dyDescent="0.3">
      <c r="A43" s="3" t="s">
        <v>62</v>
      </c>
      <c r="B43" s="4">
        <v>45324</v>
      </c>
      <c r="C43" s="3" t="s">
        <v>24</v>
      </c>
      <c r="D43" s="3" t="s">
        <v>17</v>
      </c>
      <c r="E43" s="3" t="s">
        <v>30</v>
      </c>
      <c r="F43" s="5">
        <v>2</v>
      </c>
      <c r="G43" s="26">
        <v>16000</v>
      </c>
      <c r="H43" s="26">
        <v>12800</v>
      </c>
      <c r="I43" t="str">
        <f t="shared" si="0"/>
        <v>feb</v>
      </c>
      <c r="J43" s="22">
        <f t="shared" si="1"/>
        <v>32000</v>
      </c>
    </row>
    <row r="44" spans="1:10" x14ac:dyDescent="0.3">
      <c r="A44" s="6" t="s">
        <v>63</v>
      </c>
      <c r="B44" s="7">
        <v>45434</v>
      </c>
      <c r="C44" s="6" t="s">
        <v>20</v>
      </c>
      <c r="D44" s="6" t="s">
        <v>32</v>
      </c>
      <c r="E44" s="6" t="s">
        <v>30</v>
      </c>
      <c r="F44" s="8">
        <v>2</v>
      </c>
      <c r="G44" s="27">
        <v>16000</v>
      </c>
      <c r="H44" s="27">
        <v>12800</v>
      </c>
      <c r="I44" t="str">
        <f t="shared" si="0"/>
        <v>may</v>
      </c>
      <c r="J44" s="22">
        <f t="shared" si="1"/>
        <v>32000</v>
      </c>
    </row>
    <row r="45" spans="1:10" x14ac:dyDescent="0.3">
      <c r="A45" s="3" t="s">
        <v>64</v>
      </c>
      <c r="B45" s="4">
        <v>45645</v>
      </c>
      <c r="C45" s="3" t="s">
        <v>27</v>
      </c>
      <c r="D45" s="3" t="s">
        <v>34</v>
      </c>
      <c r="E45" s="3" t="s">
        <v>12</v>
      </c>
      <c r="F45" s="5">
        <v>4</v>
      </c>
      <c r="G45" s="26">
        <v>28000</v>
      </c>
      <c r="H45" s="26">
        <v>22500</v>
      </c>
      <c r="I45" t="str">
        <f t="shared" si="0"/>
        <v>dic</v>
      </c>
      <c r="J45" s="22">
        <f t="shared" si="1"/>
        <v>112000</v>
      </c>
    </row>
    <row r="46" spans="1:10" x14ac:dyDescent="0.3">
      <c r="A46" s="6" t="s">
        <v>65</v>
      </c>
      <c r="B46" s="7">
        <v>45480</v>
      </c>
      <c r="C46" s="6" t="s">
        <v>10</v>
      </c>
      <c r="D46" s="6" t="s">
        <v>17</v>
      </c>
      <c r="E46" s="6" t="s">
        <v>28</v>
      </c>
      <c r="F46" s="8">
        <v>3</v>
      </c>
      <c r="G46" s="27">
        <v>30000</v>
      </c>
      <c r="H46" s="27">
        <v>24000</v>
      </c>
      <c r="I46" t="str">
        <f t="shared" si="0"/>
        <v>jul</v>
      </c>
      <c r="J46" s="22">
        <f t="shared" si="1"/>
        <v>90000</v>
      </c>
    </row>
    <row r="47" spans="1:10" x14ac:dyDescent="0.3">
      <c r="A47" s="3" t="s">
        <v>66</v>
      </c>
      <c r="B47" s="4">
        <v>45487</v>
      </c>
      <c r="C47" s="3" t="s">
        <v>20</v>
      </c>
      <c r="D47" s="3" t="s">
        <v>17</v>
      </c>
      <c r="E47" s="3" t="s">
        <v>15</v>
      </c>
      <c r="F47" s="5">
        <v>1</v>
      </c>
      <c r="G47" s="26">
        <v>22500</v>
      </c>
      <c r="H47" s="26">
        <v>18000</v>
      </c>
      <c r="I47" t="str">
        <f t="shared" si="0"/>
        <v>jul</v>
      </c>
      <c r="J47" s="22">
        <f t="shared" si="1"/>
        <v>22500</v>
      </c>
    </row>
    <row r="48" spans="1:10" x14ac:dyDescent="0.3">
      <c r="A48" s="6" t="s">
        <v>67</v>
      </c>
      <c r="B48" s="7">
        <v>45497</v>
      </c>
      <c r="C48" s="6" t="s">
        <v>24</v>
      </c>
      <c r="D48" s="6" t="s">
        <v>17</v>
      </c>
      <c r="E48" s="6" t="s">
        <v>12</v>
      </c>
      <c r="F48" s="8">
        <v>2</v>
      </c>
      <c r="G48" s="27">
        <v>28000</v>
      </c>
      <c r="H48" s="27">
        <v>22500</v>
      </c>
      <c r="I48" t="str">
        <f t="shared" si="0"/>
        <v>jul</v>
      </c>
      <c r="J48" s="22">
        <f t="shared" si="1"/>
        <v>56000</v>
      </c>
    </row>
    <row r="49" spans="1:10" x14ac:dyDescent="0.3">
      <c r="A49" s="3" t="s">
        <v>68</v>
      </c>
      <c r="B49" s="4">
        <v>45400</v>
      </c>
      <c r="C49" s="3" t="s">
        <v>20</v>
      </c>
      <c r="D49" s="3" t="s">
        <v>32</v>
      </c>
      <c r="E49" s="3" t="s">
        <v>28</v>
      </c>
      <c r="F49" s="5">
        <v>2</v>
      </c>
      <c r="G49" s="26">
        <v>30000</v>
      </c>
      <c r="H49" s="26">
        <v>24000</v>
      </c>
      <c r="I49" t="str">
        <f t="shared" si="0"/>
        <v>abr</v>
      </c>
      <c r="J49" s="22">
        <f t="shared" si="1"/>
        <v>60000</v>
      </c>
    </row>
    <row r="50" spans="1:10" x14ac:dyDescent="0.3">
      <c r="A50" s="6" t="s">
        <v>69</v>
      </c>
      <c r="B50" s="7">
        <v>45427</v>
      </c>
      <c r="C50" s="6" t="s">
        <v>38</v>
      </c>
      <c r="D50" s="6" t="s">
        <v>17</v>
      </c>
      <c r="E50" s="6" t="s">
        <v>28</v>
      </c>
      <c r="F50" s="8">
        <v>5</v>
      </c>
      <c r="G50" s="27">
        <v>30000</v>
      </c>
      <c r="H50" s="27">
        <v>24000</v>
      </c>
      <c r="I50" t="str">
        <f t="shared" si="0"/>
        <v>may</v>
      </c>
      <c r="J50" s="22">
        <f t="shared" si="1"/>
        <v>150000</v>
      </c>
    </row>
    <row r="51" spans="1:10" x14ac:dyDescent="0.3">
      <c r="A51" s="3" t="s">
        <v>70</v>
      </c>
      <c r="B51" s="4">
        <v>45324</v>
      </c>
      <c r="C51" s="3" t="s">
        <v>27</v>
      </c>
      <c r="D51" s="3" t="s">
        <v>17</v>
      </c>
      <c r="E51" s="3" t="s">
        <v>15</v>
      </c>
      <c r="F51" s="5">
        <v>2</v>
      </c>
      <c r="G51" s="26">
        <v>22500</v>
      </c>
      <c r="H51" s="26">
        <v>18000</v>
      </c>
      <c r="I51" t="str">
        <f t="shared" si="0"/>
        <v>feb</v>
      </c>
      <c r="J51" s="22">
        <f t="shared" si="1"/>
        <v>45000</v>
      </c>
    </row>
    <row r="52" spans="1:10" x14ac:dyDescent="0.3">
      <c r="A52" s="6" t="s">
        <v>71</v>
      </c>
      <c r="B52" s="7">
        <v>45365</v>
      </c>
      <c r="C52" s="6" t="s">
        <v>20</v>
      </c>
      <c r="D52" s="6" t="s">
        <v>34</v>
      </c>
      <c r="E52" s="6" t="s">
        <v>12</v>
      </c>
      <c r="F52" s="8">
        <v>4</v>
      </c>
      <c r="G52" s="27">
        <v>28000</v>
      </c>
      <c r="H52" s="27">
        <v>22500</v>
      </c>
      <c r="I52" t="str">
        <f t="shared" si="0"/>
        <v>mar</v>
      </c>
      <c r="J52" s="22">
        <f t="shared" si="1"/>
        <v>112000</v>
      </c>
    </row>
    <row r="53" spans="1:10" x14ac:dyDescent="0.3">
      <c r="A53" s="3" t="s">
        <v>72</v>
      </c>
      <c r="B53" s="4">
        <v>45297</v>
      </c>
      <c r="C53" s="3" t="s">
        <v>20</v>
      </c>
      <c r="D53" s="3" t="s">
        <v>17</v>
      </c>
      <c r="E53" s="3" t="s">
        <v>28</v>
      </c>
      <c r="F53" s="5">
        <v>3</v>
      </c>
      <c r="G53" s="26">
        <v>30000</v>
      </c>
      <c r="H53" s="26">
        <v>24000</v>
      </c>
      <c r="I53" t="str">
        <f t="shared" si="0"/>
        <v>ene</v>
      </c>
      <c r="J53" s="22">
        <f t="shared" si="1"/>
        <v>90000</v>
      </c>
    </row>
    <row r="54" spans="1:10" x14ac:dyDescent="0.3">
      <c r="A54" s="6" t="s">
        <v>73</v>
      </c>
      <c r="B54" s="7">
        <v>45514</v>
      </c>
      <c r="C54" s="6" t="s">
        <v>20</v>
      </c>
      <c r="D54" s="6" t="s">
        <v>14</v>
      </c>
      <c r="E54" s="6" t="s">
        <v>28</v>
      </c>
      <c r="F54" s="8">
        <v>2</v>
      </c>
      <c r="G54" s="27">
        <v>30000</v>
      </c>
      <c r="H54" s="27">
        <v>24000</v>
      </c>
      <c r="I54" t="str">
        <f t="shared" si="0"/>
        <v>ago</v>
      </c>
      <c r="J54" s="22">
        <f t="shared" si="1"/>
        <v>60000</v>
      </c>
    </row>
    <row r="55" spans="1:10" x14ac:dyDescent="0.3">
      <c r="A55" s="3" t="s">
        <v>74</v>
      </c>
      <c r="B55" s="4">
        <v>45392</v>
      </c>
      <c r="C55" s="3" t="s">
        <v>38</v>
      </c>
      <c r="D55" s="3" t="s">
        <v>17</v>
      </c>
      <c r="E55" s="3" t="s">
        <v>30</v>
      </c>
      <c r="F55" s="5">
        <v>5</v>
      </c>
      <c r="G55" s="26">
        <v>16000</v>
      </c>
      <c r="H55" s="26">
        <v>12800</v>
      </c>
      <c r="I55" t="str">
        <f t="shared" si="0"/>
        <v>abr</v>
      </c>
      <c r="J55" s="22">
        <f t="shared" si="1"/>
        <v>80000</v>
      </c>
    </row>
    <row r="56" spans="1:10" x14ac:dyDescent="0.3">
      <c r="A56" s="6" t="s">
        <v>75</v>
      </c>
      <c r="B56" s="7">
        <v>45315</v>
      </c>
      <c r="C56" s="6" t="s">
        <v>24</v>
      </c>
      <c r="D56" s="6" t="s">
        <v>17</v>
      </c>
      <c r="E56" s="6" t="s">
        <v>15</v>
      </c>
      <c r="F56" s="8">
        <v>5</v>
      </c>
      <c r="G56" s="27">
        <v>22500</v>
      </c>
      <c r="H56" s="27">
        <v>18000</v>
      </c>
      <c r="I56" t="str">
        <f t="shared" si="0"/>
        <v>ene</v>
      </c>
      <c r="J56" s="22">
        <f t="shared" si="1"/>
        <v>112500</v>
      </c>
    </row>
    <row r="57" spans="1:10" x14ac:dyDescent="0.3">
      <c r="A57" s="3" t="s">
        <v>76</v>
      </c>
      <c r="B57" s="4">
        <v>45521</v>
      </c>
      <c r="C57" s="3" t="s">
        <v>27</v>
      </c>
      <c r="D57" s="3" t="s">
        <v>32</v>
      </c>
      <c r="E57" s="3" t="s">
        <v>15</v>
      </c>
      <c r="F57" s="5">
        <v>5</v>
      </c>
      <c r="G57" s="26">
        <v>22500</v>
      </c>
      <c r="H57" s="26">
        <v>18000</v>
      </c>
      <c r="I57" t="str">
        <f t="shared" si="0"/>
        <v>ago</v>
      </c>
      <c r="J57" s="22">
        <f t="shared" si="1"/>
        <v>112500</v>
      </c>
    </row>
    <row r="58" spans="1:10" x14ac:dyDescent="0.3">
      <c r="A58" s="6" t="s">
        <v>77</v>
      </c>
      <c r="B58" s="7">
        <v>45350</v>
      </c>
      <c r="C58" s="6" t="s">
        <v>38</v>
      </c>
      <c r="D58" s="6" t="s">
        <v>17</v>
      </c>
      <c r="E58" s="6" t="s">
        <v>30</v>
      </c>
      <c r="F58" s="8">
        <v>1</v>
      </c>
      <c r="G58" s="27">
        <v>16000</v>
      </c>
      <c r="H58" s="27">
        <v>12800</v>
      </c>
      <c r="I58" t="str">
        <f t="shared" si="0"/>
        <v>feb</v>
      </c>
      <c r="J58" s="22">
        <f t="shared" si="1"/>
        <v>16000</v>
      </c>
    </row>
    <row r="59" spans="1:10" x14ac:dyDescent="0.3">
      <c r="A59" s="3" t="s">
        <v>78</v>
      </c>
      <c r="B59" s="4">
        <v>45624</v>
      </c>
      <c r="C59" s="3" t="s">
        <v>38</v>
      </c>
      <c r="D59" s="3" t="s">
        <v>34</v>
      </c>
      <c r="E59" s="3" t="s">
        <v>15</v>
      </c>
      <c r="F59" s="5">
        <v>5</v>
      </c>
      <c r="G59" s="26">
        <v>22500</v>
      </c>
      <c r="H59" s="26">
        <v>18000</v>
      </c>
      <c r="I59" t="str">
        <f t="shared" si="0"/>
        <v>nov</v>
      </c>
      <c r="J59" s="22">
        <f t="shared" si="1"/>
        <v>112500</v>
      </c>
    </row>
    <row r="60" spans="1:10" x14ac:dyDescent="0.3">
      <c r="A60" s="6" t="s">
        <v>79</v>
      </c>
      <c r="B60" s="7">
        <v>45401</v>
      </c>
      <c r="C60" s="6" t="s">
        <v>27</v>
      </c>
      <c r="D60" s="6" t="s">
        <v>17</v>
      </c>
      <c r="E60" s="6" t="s">
        <v>30</v>
      </c>
      <c r="F60" s="8">
        <v>1</v>
      </c>
      <c r="G60" s="27">
        <v>16000</v>
      </c>
      <c r="H60" s="27">
        <v>12800</v>
      </c>
      <c r="I60" t="str">
        <f t="shared" si="0"/>
        <v>abr</v>
      </c>
      <c r="J60" s="22">
        <f t="shared" si="1"/>
        <v>16000</v>
      </c>
    </row>
    <row r="61" spans="1:10" x14ac:dyDescent="0.3">
      <c r="A61" s="3" t="s">
        <v>80</v>
      </c>
      <c r="B61" s="4">
        <v>45495</v>
      </c>
      <c r="C61" s="3" t="s">
        <v>27</v>
      </c>
      <c r="D61" s="3" t="s">
        <v>14</v>
      </c>
      <c r="E61" s="3" t="s">
        <v>30</v>
      </c>
      <c r="F61" s="5">
        <v>3</v>
      </c>
      <c r="G61" s="26">
        <v>16000</v>
      </c>
      <c r="H61" s="26">
        <v>12800</v>
      </c>
      <c r="I61" t="str">
        <f t="shared" si="0"/>
        <v>jul</v>
      </c>
      <c r="J61" s="22">
        <f t="shared" si="1"/>
        <v>48000</v>
      </c>
    </row>
    <row r="62" spans="1:10" x14ac:dyDescent="0.3">
      <c r="A62" s="6" t="s">
        <v>81</v>
      </c>
      <c r="B62" s="7">
        <v>45419</v>
      </c>
      <c r="C62" s="6" t="s">
        <v>24</v>
      </c>
      <c r="D62" s="6" t="s">
        <v>32</v>
      </c>
      <c r="E62" s="6" t="s">
        <v>21</v>
      </c>
      <c r="F62" s="8">
        <v>4</v>
      </c>
      <c r="G62" s="27">
        <v>25000</v>
      </c>
      <c r="H62" s="27">
        <v>20000</v>
      </c>
      <c r="I62" t="str">
        <f t="shared" si="0"/>
        <v>may</v>
      </c>
      <c r="J62" s="22">
        <f t="shared" si="1"/>
        <v>100000</v>
      </c>
    </row>
    <row r="63" spans="1:10" x14ac:dyDescent="0.3">
      <c r="A63" s="3" t="s">
        <v>82</v>
      </c>
      <c r="B63" s="4">
        <v>45373</v>
      </c>
      <c r="C63" s="3" t="s">
        <v>24</v>
      </c>
      <c r="D63" s="3" t="s">
        <v>34</v>
      </c>
      <c r="E63" s="3" t="s">
        <v>21</v>
      </c>
      <c r="F63" s="5">
        <v>1</v>
      </c>
      <c r="G63" s="26">
        <v>25000</v>
      </c>
      <c r="H63" s="26">
        <v>20000</v>
      </c>
      <c r="I63" t="str">
        <f t="shared" si="0"/>
        <v>mar</v>
      </c>
      <c r="J63" s="22">
        <f t="shared" si="1"/>
        <v>25000</v>
      </c>
    </row>
    <row r="64" spans="1:10" x14ac:dyDescent="0.3">
      <c r="A64" s="6" t="s">
        <v>83</v>
      </c>
      <c r="B64" s="7">
        <v>45306</v>
      </c>
      <c r="C64" s="6" t="s">
        <v>27</v>
      </c>
      <c r="D64" s="6" t="s">
        <v>14</v>
      </c>
      <c r="E64" s="6" t="s">
        <v>15</v>
      </c>
      <c r="F64" s="8">
        <v>1</v>
      </c>
      <c r="G64" s="27">
        <v>22500</v>
      </c>
      <c r="H64" s="27">
        <v>18000</v>
      </c>
      <c r="I64" t="str">
        <f t="shared" si="0"/>
        <v>ene</v>
      </c>
      <c r="J64" s="22">
        <f t="shared" si="1"/>
        <v>22500</v>
      </c>
    </row>
    <row r="65" spans="7:10" x14ac:dyDescent="0.3">
      <c r="G65" s="24"/>
      <c r="H65" s="24"/>
      <c r="J65" s="22"/>
    </row>
  </sheetData>
  <mergeCells count="1">
    <mergeCell ref="A2:H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6"/>
  <sheetViews>
    <sheetView showGridLines="0" topLeftCell="A23" zoomScaleNormal="100" workbookViewId="0">
      <selection activeCell="A27" sqref="A27:J27"/>
    </sheetView>
  </sheetViews>
  <sheetFormatPr baseColWidth="10" defaultColWidth="8.77734375" defaultRowHeight="14.4" x14ac:dyDescent="0.3"/>
  <cols>
    <col min="1" max="1" width="8" customWidth="1"/>
    <col min="2" max="2" width="30" customWidth="1"/>
    <col min="3" max="3" width="20" customWidth="1"/>
    <col min="4" max="4" width="15.33203125" customWidth="1"/>
    <col min="5" max="6" width="12" customWidth="1"/>
    <col min="7" max="7" width="30" customWidth="1"/>
    <col min="8" max="10" width="12" customWidth="1"/>
  </cols>
  <sheetData>
    <row r="1" spans="1:10" ht="34.950000000000003" customHeight="1" x14ac:dyDescent="0.3">
      <c r="A1" s="44" t="s">
        <v>84</v>
      </c>
      <c r="B1" s="30"/>
      <c r="C1" s="30"/>
      <c r="D1" s="30"/>
      <c r="E1" s="30"/>
      <c r="F1" s="30"/>
      <c r="G1" s="30"/>
      <c r="H1" s="30"/>
      <c r="I1" s="30"/>
      <c r="J1" s="30"/>
    </row>
    <row r="2" spans="1:10" x14ac:dyDescent="0.3">
      <c r="A2" s="47" t="s">
        <v>185</v>
      </c>
      <c r="B2" s="30"/>
      <c r="C2" s="30"/>
      <c r="D2" s="30"/>
      <c r="E2" s="30"/>
      <c r="F2" s="30"/>
      <c r="G2" s="30"/>
      <c r="H2" s="30"/>
      <c r="I2" s="30"/>
      <c r="J2" s="30"/>
    </row>
    <row r="3" spans="1:10" ht="30" customHeight="1" x14ac:dyDescent="0.3">
      <c r="A3" s="46" t="s">
        <v>85</v>
      </c>
      <c r="B3" s="30"/>
      <c r="C3" s="30"/>
      <c r="D3" s="30"/>
      <c r="E3" s="30"/>
      <c r="F3" s="30"/>
      <c r="G3" s="30"/>
      <c r="H3" s="30"/>
      <c r="I3" s="30"/>
      <c r="J3" s="30"/>
    </row>
    <row r="5" spans="1:10" ht="22.05" customHeight="1" x14ac:dyDescent="0.3">
      <c r="A5" s="38" t="s">
        <v>86</v>
      </c>
      <c r="B5" s="30"/>
      <c r="C5" s="30"/>
      <c r="D5" s="30"/>
      <c r="E5" s="30"/>
      <c r="F5" s="30"/>
      <c r="G5" s="30"/>
      <c r="H5" s="30"/>
      <c r="I5" s="30"/>
      <c r="J5" s="30"/>
    </row>
    <row r="6" spans="1:10" ht="19.95" customHeight="1" x14ac:dyDescent="0.3">
      <c r="A6" s="9" t="s">
        <v>87</v>
      </c>
      <c r="B6" s="34" t="s">
        <v>88</v>
      </c>
      <c r="C6" s="30"/>
      <c r="D6" s="30"/>
      <c r="E6" s="30"/>
      <c r="F6" s="30"/>
      <c r="G6" s="45">
        <f>SUM(Dataset!F5:F64)</f>
        <v>165</v>
      </c>
      <c r="H6" s="33"/>
      <c r="I6" s="33"/>
      <c r="J6" s="33"/>
    </row>
    <row r="7" spans="1:10" ht="19.95" customHeight="1" x14ac:dyDescent="0.3">
      <c r="A7" s="9" t="s">
        <v>89</v>
      </c>
      <c r="B7" s="34" t="s">
        <v>90</v>
      </c>
      <c r="C7" s="30"/>
      <c r="D7" s="30"/>
      <c r="E7" s="30"/>
      <c r="F7" s="30"/>
      <c r="G7" s="35">
        <f>AVERAGE(Dataset!G5:G64)</f>
        <v>23983.333333333332</v>
      </c>
      <c r="H7" s="36"/>
      <c r="I7" s="36"/>
      <c r="J7" s="36"/>
    </row>
    <row r="8" spans="1:10" ht="19.95" customHeight="1" x14ac:dyDescent="0.3">
      <c r="A8" s="9" t="s">
        <v>91</v>
      </c>
      <c r="B8" s="34" t="s">
        <v>92</v>
      </c>
      <c r="C8" s="30"/>
      <c r="D8" s="30"/>
      <c r="E8" s="30"/>
      <c r="F8" s="30"/>
      <c r="G8" s="32">
        <f>COUNTIF(Dataset!C5:C64,"Ciudad de Panamá")</f>
        <v>13</v>
      </c>
      <c r="H8" s="33"/>
      <c r="I8" s="33"/>
      <c r="J8" s="33"/>
    </row>
    <row r="9" spans="1:10" ht="19.95" customHeight="1" x14ac:dyDescent="0.3">
      <c r="A9" s="9" t="s">
        <v>93</v>
      </c>
      <c r="B9" s="34" t="s">
        <v>94</v>
      </c>
      <c r="C9" s="30"/>
      <c r="D9" s="30"/>
      <c r="E9" s="30"/>
      <c r="F9" s="30"/>
      <c r="G9" s="35">
        <f>SUMPRODUCT(Dataset!F5:F64,Dataset!G5:G64)</f>
        <v>4048500</v>
      </c>
      <c r="H9" s="36"/>
      <c r="I9" s="36"/>
      <c r="J9" s="36"/>
    </row>
    <row r="10" spans="1:10" ht="19.95" customHeight="1" x14ac:dyDescent="0.3">
      <c r="A10" s="9" t="s">
        <v>95</v>
      </c>
      <c r="B10" s="34" t="s">
        <v>96</v>
      </c>
      <c r="C10" s="30"/>
      <c r="D10" s="30"/>
      <c r="E10" s="30"/>
      <c r="F10" s="30"/>
      <c r="G10" s="32">
        <f>COUNTIF(Dataset!G5:G64,"&gt;25000")</f>
        <v>22</v>
      </c>
      <c r="H10" s="33"/>
      <c r="I10" s="33"/>
      <c r="J10" s="33"/>
    </row>
    <row r="12" spans="1:10" ht="22.05" customHeight="1" x14ac:dyDescent="0.3">
      <c r="A12" s="38" t="s">
        <v>97</v>
      </c>
      <c r="B12" s="30"/>
      <c r="C12" s="30"/>
      <c r="D12" s="30"/>
      <c r="E12" s="30"/>
      <c r="F12" s="30"/>
      <c r="G12" s="30"/>
      <c r="H12" s="30"/>
      <c r="I12" s="30"/>
      <c r="J12" s="30"/>
    </row>
    <row r="13" spans="1:10" x14ac:dyDescent="0.3">
      <c r="A13" s="39" t="s">
        <v>98</v>
      </c>
      <c r="B13" s="30"/>
      <c r="C13" s="30"/>
      <c r="D13" s="30"/>
      <c r="E13" s="30"/>
      <c r="F13" s="30"/>
      <c r="G13" s="30"/>
      <c r="H13" s="30"/>
      <c r="I13" s="30"/>
      <c r="J13" s="30"/>
    </row>
    <row r="14" spans="1:10" ht="19.95" customHeight="1" x14ac:dyDescent="0.3">
      <c r="A14" s="9" t="s">
        <v>99</v>
      </c>
      <c r="B14" s="34" t="s">
        <v>100</v>
      </c>
      <c r="C14" s="30"/>
      <c r="D14" s="30"/>
      <c r="E14" s="30"/>
      <c r="F14" s="30"/>
      <c r="G14" s="41">
        <f>SUMIF(Dataset!D5:D64,"Carlos Méndez",Dataset!G5:G64)</f>
        <v>269500</v>
      </c>
      <c r="H14" s="42"/>
      <c r="I14" s="42"/>
      <c r="J14" s="42"/>
    </row>
    <row r="15" spans="1:10" ht="19.95" customHeight="1" x14ac:dyDescent="0.3">
      <c r="A15" s="9" t="s">
        <v>101</v>
      </c>
      <c r="B15" s="34" t="s">
        <v>102</v>
      </c>
      <c r="C15" s="30"/>
      <c r="D15" s="30"/>
      <c r="E15" s="30"/>
      <c r="F15" s="30"/>
      <c r="G15" s="40">
        <f>SUMIF(Dataset!E5:E64,"Toyota Corolla",Dataset!F5:F64)</f>
        <v>39</v>
      </c>
      <c r="H15" s="30"/>
      <c r="I15" s="30"/>
      <c r="J15" s="30"/>
    </row>
    <row r="16" spans="1:10" ht="19.95" customHeight="1" x14ac:dyDescent="0.3">
      <c r="A16" s="9" t="s">
        <v>103</v>
      </c>
      <c r="B16" s="34" t="s">
        <v>104</v>
      </c>
      <c r="C16" s="30"/>
      <c r="D16" s="30"/>
      <c r="E16" s="30"/>
      <c r="F16" s="30"/>
      <c r="G16" s="40" t="s">
        <v>105</v>
      </c>
      <c r="H16" s="30"/>
      <c r="I16" s="30"/>
      <c r="J16" s="30"/>
    </row>
    <row r="17" spans="1:10" x14ac:dyDescent="0.3">
      <c r="A17" s="48" t="s">
        <v>106</v>
      </c>
      <c r="B17" s="30"/>
      <c r="C17" s="30"/>
      <c r="D17" s="30"/>
    </row>
    <row r="18" spans="1:10" x14ac:dyDescent="0.3">
      <c r="A18" s="11" t="s">
        <v>3</v>
      </c>
      <c r="B18" s="11"/>
      <c r="C18" s="11" t="s">
        <v>107</v>
      </c>
    </row>
    <row r="19" spans="1:10" ht="18" customHeight="1" x14ac:dyDescent="0.3">
      <c r="A19" s="12" t="s">
        <v>10</v>
      </c>
      <c r="B19" s="10">
        <f>SUMIF(Dataset!C5:C64,A19, Dataset!F5:F64)</f>
        <v>35</v>
      </c>
      <c r="C19" s="16">
        <f t="shared" ref="C19:C24" si="0">B19 / B$24</f>
        <v>0.21212121212121213</v>
      </c>
    </row>
    <row r="20" spans="1:10" ht="18" customHeight="1" x14ac:dyDescent="0.3">
      <c r="A20" s="12" t="s">
        <v>38</v>
      </c>
      <c r="B20" s="10">
        <f>SUMIF(Dataset!C6:C65,A20, Dataset!F6:F65)</f>
        <v>24</v>
      </c>
      <c r="C20" s="16">
        <f t="shared" si="0"/>
        <v>0.14545454545454545</v>
      </c>
    </row>
    <row r="21" spans="1:10" ht="18" customHeight="1" x14ac:dyDescent="0.3">
      <c r="A21" s="12" t="s">
        <v>24</v>
      </c>
      <c r="B21" s="10">
        <f>SUMIF(Dataset!C7:C66,A21, Dataset!F7:F66)</f>
        <v>31</v>
      </c>
      <c r="C21" s="16">
        <f t="shared" si="0"/>
        <v>0.18787878787878787</v>
      </c>
    </row>
    <row r="22" spans="1:10" ht="18" customHeight="1" x14ac:dyDescent="0.3">
      <c r="A22" s="12" t="s">
        <v>20</v>
      </c>
      <c r="B22" s="10">
        <f>SUMIF(Dataset!C8:C67,A22, Dataset!F8:F67)</f>
        <v>41</v>
      </c>
      <c r="C22" s="16">
        <f t="shared" si="0"/>
        <v>0.24848484848484848</v>
      </c>
    </row>
    <row r="23" spans="1:10" ht="18" customHeight="1" x14ac:dyDescent="0.3">
      <c r="A23" s="12" t="s">
        <v>27</v>
      </c>
      <c r="B23" s="10">
        <f>SUMIF(Dataset!C9:C68,A23, Dataset!F9:F68)</f>
        <v>34</v>
      </c>
      <c r="C23" s="16">
        <f t="shared" si="0"/>
        <v>0.20606060606060606</v>
      </c>
    </row>
    <row r="24" spans="1:10" x14ac:dyDescent="0.3">
      <c r="A24" s="13" t="s">
        <v>108</v>
      </c>
      <c r="B24" s="10">
        <f>SUM(B19:B23)</f>
        <v>165</v>
      </c>
      <c r="C24" s="16">
        <f t="shared" si="0"/>
        <v>1</v>
      </c>
    </row>
    <row r="26" spans="1:10" x14ac:dyDescent="0.3">
      <c r="A26" s="39" t="s">
        <v>109</v>
      </c>
      <c r="B26" s="30"/>
      <c r="C26" s="30"/>
      <c r="D26" s="30"/>
      <c r="E26" s="30"/>
      <c r="F26" s="30"/>
      <c r="G26" s="30"/>
      <c r="H26" s="30"/>
      <c r="I26" s="30"/>
      <c r="J26" s="30"/>
    </row>
    <row r="27" spans="1:10" ht="40.049999999999997" customHeight="1" x14ac:dyDescent="0.3">
      <c r="A27" s="37" t="s">
        <v>110</v>
      </c>
      <c r="B27" s="30"/>
      <c r="C27" s="30"/>
      <c r="D27" s="30"/>
      <c r="E27" s="30"/>
      <c r="F27" s="30"/>
      <c r="G27" s="30"/>
      <c r="H27" s="30"/>
      <c r="I27" s="30"/>
      <c r="J27" s="30"/>
    </row>
    <row r="29" spans="1:10" ht="22.05" customHeight="1" x14ac:dyDescent="0.3">
      <c r="A29" s="38" t="s">
        <v>111</v>
      </c>
      <c r="B29" s="30"/>
      <c r="C29" s="30"/>
      <c r="D29" s="30"/>
      <c r="E29" s="30"/>
      <c r="F29" s="30"/>
      <c r="G29" s="30"/>
      <c r="H29" s="30"/>
      <c r="I29" s="30"/>
      <c r="J29" s="30"/>
    </row>
    <row r="30" spans="1:10" x14ac:dyDescent="0.3">
      <c r="A30" s="43" t="s">
        <v>112</v>
      </c>
      <c r="B30" s="30"/>
      <c r="C30" s="30"/>
      <c r="D30" s="30"/>
      <c r="E30" s="30"/>
      <c r="F30" s="30"/>
      <c r="G30" s="30"/>
      <c r="H30" s="30"/>
      <c r="I30" s="30"/>
      <c r="J30" s="30"/>
    </row>
    <row r="31" spans="1:10" x14ac:dyDescent="0.3">
      <c r="A31" s="11" t="s">
        <v>113</v>
      </c>
      <c r="B31" s="11" t="s">
        <v>114</v>
      </c>
      <c r="C31" s="11" t="s">
        <v>115</v>
      </c>
    </row>
    <row r="32" spans="1:10" ht="22.05" customHeight="1" x14ac:dyDescent="0.3">
      <c r="A32" s="12" t="s">
        <v>116</v>
      </c>
      <c r="B32" s="14"/>
      <c r="C32" s="20">
        <f>SUM(Dataset!J5:J64)</f>
        <v>4048500</v>
      </c>
    </row>
    <row r="33" spans="1:10" ht="22.05" customHeight="1" x14ac:dyDescent="0.3">
      <c r="A33" s="12" t="s">
        <v>117</v>
      </c>
      <c r="B33" s="14"/>
      <c r="C33" s="20">
        <f>SUMPRODUCT(Dataset!F5:F64, Dataset!H5:H64)</f>
        <v>3242800</v>
      </c>
    </row>
    <row r="34" spans="1:10" ht="22.05" customHeight="1" x14ac:dyDescent="0.3">
      <c r="A34" s="12" t="s">
        <v>118</v>
      </c>
      <c r="B34" s="14"/>
      <c r="C34" s="20">
        <f>C32-C33</f>
        <v>805700</v>
      </c>
    </row>
    <row r="35" spans="1:10" ht="22.05" customHeight="1" x14ac:dyDescent="0.3">
      <c r="A35" s="12" t="s">
        <v>119</v>
      </c>
      <c r="B35" s="14" t="e">
        <f>Utilidad Bruta / Ingreso Total  →  formato %</f>
        <v>#NAME?</v>
      </c>
      <c r="C35" s="16">
        <f>C34 / C32</f>
        <v>0.19901197974558479</v>
      </c>
    </row>
    <row r="36" spans="1:10" ht="22.05" customHeight="1" x14ac:dyDescent="0.3">
      <c r="A36" s="12" t="s">
        <v>120</v>
      </c>
      <c r="B36" s="14" t="e">
        <f>Ingreso Total / Número de ventas</f>
        <v>#NAME?</v>
      </c>
      <c r="C36" s="20">
        <f>C32/SUM(Dataset!F5:F64)</f>
        <v>24536.363636363636</v>
      </c>
    </row>
    <row r="37" spans="1:10" ht="22.05" customHeight="1" x14ac:dyDescent="0.3">
      <c r="A37" s="12" t="s">
        <v>121</v>
      </c>
      <c r="B37" s="14" t="e">
        <f>Usa INDEX/MATCH o MAXIF para identificar el producto con más Unidades</f>
        <v>#NAME?</v>
      </c>
      <c r="C37" s="10" t="str" cm="1">
        <f t="array" ref="C37">INDEX(Dataset!E$5:E$500, MATCH(MAX(SUMIF(Dataset!E$5:E$500, Dataset!E$5:E$500, Dataset!F$5:F$500)), SUMIF(Dataset!E$5:E$500, Dataset!E$5:E$500, Dataset!F$5:F$500), 0))</f>
        <v>Hyundai Tucson</v>
      </c>
    </row>
    <row r="38" spans="1:10" ht="22.05" customHeight="1" x14ac:dyDescent="0.3">
      <c r="A38" s="12" t="s">
        <v>122</v>
      </c>
      <c r="B38" s="14" t="e">
        <f ca="1">Usa SUMIFS + TEXTO(fecha,"MMMM") para agrupar por mes</f>
        <v>#NAME?</v>
      </c>
      <c r="C38" s="10" t="str" cm="1">
        <f t="array" ref="C38">INDEX(Dataset!I$5:I$500,MATCH(MAX(SUMIF(Dataset!I$5:I$500,Dataset!I$5:I$500,Dataset!J$5:J$500)),SUMIF(Dataset!I$5:I$500,Dataset!I$5:I$500,Dataset!J$5:J$500),0))</f>
        <v>abr</v>
      </c>
      <c r="D38" s="23" cm="1">
        <f t="array" ref="D38">MAX(SUMIF(Dataset!I$5:I$500,Dataset!I$5:I$500,Dataset!J$5:J$500))</f>
        <v>593000</v>
      </c>
    </row>
    <row r="40" spans="1:10" ht="22.05" customHeight="1" x14ac:dyDescent="0.3">
      <c r="A40" s="38" t="s">
        <v>123</v>
      </c>
      <c r="B40" s="30"/>
      <c r="C40" s="30"/>
      <c r="D40" s="30"/>
      <c r="E40" s="30"/>
      <c r="F40" s="30"/>
      <c r="G40" s="30"/>
      <c r="H40" s="30"/>
      <c r="I40" s="30"/>
      <c r="J40" s="30"/>
    </row>
    <row r="41" spans="1:10" ht="28.05" customHeight="1" x14ac:dyDescent="0.3">
      <c r="A41" s="9" t="s">
        <v>124</v>
      </c>
      <c r="B41" s="31" t="s">
        <v>125</v>
      </c>
      <c r="C41" s="30"/>
      <c r="D41" s="30"/>
      <c r="E41" s="30"/>
      <c r="F41" s="30"/>
      <c r="G41" s="30"/>
      <c r="H41" s="30"/>
      <c r="I41" s="30"/>
      <c r="J41" s="30"/>
    </row>
    <row r="42" spans="1:10" ht="28.05" customHeight="1" x14ac:dyDescent="0.3"/>
    <row r="43" spans="1:10" ht="28.05" customHeight="1" x14ac:dyDescent="0.3">
      <c r="A43" s="9" t="s">
        <v>126</v>
      </c>
      <c r="B43" s="31" t="s">
        <v>127</v>
      </c>
      <c r="C43" s="30"/>
      <c r="D43" s="30"/>
      <c r="E43" s="30"/>
      <c r="F43" s="30"/>
      <c r="G43" s="30"/>
      <c r="H43" s="30"/>
      <c r="I43" s="30"/>
      <c r="J43" s="30"/>
    </row>
    <row r="44" spans="1:10" ht="28.05" customHeight="1" x14ac:dyDescent="0.3"/>
    <row r="45" spans="1:10" ht="28.05" customHeight="1" x14ac:dyDescent="0.3">
      <c r="A45" s="9" t="s">
        <v>128</v>
      </c>
      <c r="B45" s="31" t="s">
        <v>129</v>
      </c>
      <c r="C45" s="30"/>
      <c r="D45" s="30"/>
      <c r="E45" s="30"/>
      <c r="F45" s="30"/>
      <c r="G45" s="30"/>
      <c r="H45" s="30"/>
      <c r="I45" s="30"/>
      <c r="J45" s="30"/>
    </row>
    <row r="46" spans="1:10" ht="28.05" customHeight="1" x14ac:dyDescent="0.3"/>
  </sheetData>
  <mergeCells count="31">
    <mergeCell ref="A17:D17"/>
    <mergeCell ref="B7:F7"/>
    <mergeCell ref="B16:F16"/>
    <mergeCell ref="A29:J29"/>
    <mergeCell ref="G16:J16"/>
    <mergeCell ref="A13:J13"/>
    <mergeCell ref="G9:J9"/>
    <mergeCell ref="B14:F14"/>
    <mergeCell ref="B8:F8"/>
    <mergeCell ref="A1:J1"/>
    <mergeCell ref="G6:J6"/>
    <mergeCell ref="B6:F6"/>
    <mergeCell ref="A3:J3"/>
    <mergeCell ref="A2:J2"/>
    <mergeCell ref="A5:J5"/>
    <mergeCell ref="B45:J45"/>
    <mergeCell ref="G8:J8"/>
    <mergeCell ref="B10:F10"/>
    <mergeCell ref="B41:J41"/>
    <mergeCell ref="G7:J7"/>
    <mergeCell ref="B9:F9"/>
    <mergeCell ref="G10:J10"/>
    <mergeCell ref="B15:F15"/>
    <mergeCell ref="A27:J27"/>
    <mergeCell ref="A12:J12"/>
    <mergeCell ref="A26:J26"/>
    <mergeCell ref="G15:J15"/>
    <mergeCell ref="B43:J43"/>
    <mergeCell ref="G14:J14"/>
    <mergeCell ref="A40:J40"/>
    <mergeCell ref="A30:J3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4165-B94C-4C84-8A1D-43C84DD33A1D}">
  <sheetPr>
    <tabColor rgb="FFFFFF00"/>
  </sheetPr>
  <dimension ref="B5:H12"/>
  <sheetViews>
    <sheetView zoomScale="84" workbookViewId="0">
      <selection activeCell="C18" sqref="C18"/>
    </sheetView>
  </sheetViews>
  <sheetFormatPr baseColWidth="10" defaultRowHeight="14.4" x14ac:dyDescent="0.3"/>
  <cols>
    <col min="1" max="1" width="19.5546875" bestFit="1" customWidth="1"/>
    <col min="2" max="2" width="21.6640625" bestFit="1" customWidth="1"/>
    <col min="3" max="3" width="17.109375" bestFit="1" customWidth="1"/>
    <col min="4" max="4" width="14.21875" bestFit="1" customWidth="1"/>
    <col min="5" max="5" width="15.21875" bestFit="1" customWidth="1"/>
    <col min="6" max="6" width="14.21875" bestFit="1" customWidth="1"/>
    <col min="7" max="7" width="16.33203125" bestFit="1" customWidth="1"/>
    <col min="8" max="8" width="15.6640625" bestFit="1" customWidth="1"/>
    <col min="9" max="9" width="21.5546875" bestFit="1" customWidth="1"/>
    <col min="10" max="10" width="25.109375" bestFit="1" customWidth="1"/>
    <col min="11" max="11" width="21.5546875" bestFit="1" customWidth="1"/>
    <col min="12" max="12" width="29.88671875" bestFit="1" customWidth="1"/>
    <col min="13" max="13" width="26.33203125" bestFit="1" customWidth="1"/>
  </cols>
  <sheetData>
    <row r="5" spans="2:8" x14ac:dyDescent="0.3">
      <c r="B5" s="17" t="s">
        <v>173</v>
      </c>
      <c r="C5" s="17" t="s">
        <v>169</v>
      </c>
      <c r="D5" s="18"/>
      <c r="E5" s="18"/>
      <c r="F5" s="18"/>
      <c r="G5" s="18"/>
      <c r="H5" s="18"/>
    </row>
    <row r="6" spans="2:8" x14ac:dyDescent="0.3">
      <c r="B6" s="17" t="s">
        <v>167</v>
      </c>
      <c r="C6" s="18" t="s">
        <v>38</v>
      </c>
      <c r="D6" s="18" t="s">
        <v>10</v>
      </c>
      <c r="E6" s="18" t="s">
        <v>24</v>
      </c>
      <c r="F6" s="18" t="s">
        <v>20</v>
      </c>
      <c r="G6" s="18" t="s">
        <v>27</v>
      </c>
      <c r="H6" s="18" t="s">
        <v>168</v>
      </c>
    </row>
    <row r="7" spans="2:8" x14ac:dyDescent="0.3">
      <c r="B7" s="19" t="s">
        <v>12</v>
      </c>
      <c r="C7" s="25"/>
      <c r="D7" s="25">
        <v>252000</v>
      </c>
      <c r="E7" s="25">
        <v>196000</v>
      </c>
      <c r="F7" s="25">
        <v>308000</v>
      </c>
      <c r="G7" s="25">
        <v>364000</v>
      </c>
      <c r="H7" s="25">
        <v>1120000</v>
      </c>
    </row>
    <row r="8" spans="2:8" x14ac:dyDescent="0.3">
      <c r="B8" s="19" t="s">
        <v>21</v>
      </c>
      <c r="C8" s="25"/>
      <c r="D8" s="25">
        <v>200000</v>
      </c>
      <c r="E8" s="25">
        <v>225000</v>
      </c>
      <c r="F8" s="25">
        <v>250000</v>
      </c>
      <c r="G8" s="25">
        <v>150000</v>
      </c>
      <c r="H8" s="25">
        <v>825000</v>
      </c>
    </row>
    <row r="9" spans="2:8" x14ac:dyDescent="0.3">
      <c r="B9" s="19" t="s">
        <v>28</v>
      </c>
      <c r="C9" s="25">
        <v>360000</v>
      </c>
      <c r="D9" s="25">
        <v>180000</v>
      </c>
      <c r="E9" s="25"/>
      <c r="F9" s="25">
        <v>240000</v>
      </c>
      <c r="G9" s="25">
        <v>30000</v>
      </c>
      <c r="H9" s="25">
        <v>810000</v>
      </c>
    </row>
    <row r="10" spans="2:8" x14ac:dyDescent="0.3">
      <c r="B10" s="19" t="s">
        <v>30</v>
      </c>
      <c r="C10" s="25">
        <v>112000</v>
      </c>
      <c r="D10" s="25">
        <v>48000</v>
      </c>
      <c r="E10" s="25">
        <v>96000</v>
      </c>
      <c r="F10" s="25">
        <v>64000</v>
      </c>
      <c r="G10" s="25">
        <v>96000</v>
      </c>
      <c r="H10" s="25">
        <v>416000</v>
      </c>
    </row>
    <row r="11" spans="2:8" x14ac:dyDescent="0.3">
      <c r="B11" s="19" t="s">
        <v>15</v>
      </c>
      <c r="C11" s="25">
        <v>112500</v>
      </c>
      <c r="D11" s="25">
        <v>202500</v>
      </c>
      <c r="E11" s="25">
        <v>202500</v>
      </c>
      <c r="F11" s="25">
        <v>180000</v>
      </c>
      <c r="G11" s="25">
        <v>180000</v>
      </c>
      <c r="H11" s="25">
        <v>877500</v>
      </c>
    </row>
    <row r="12" spans="2:8" x14ac:dyDescent="0.3">
      <c r="B12" s="19" t="s">
        <v>168</v>
      </c>
      <c r="C12" s="25">
        <v>584500</v>
      </c>
      <c r="D12" s="25">
        <v>882500</v>
      </c>
      <c r="E12" s="25">
        <v>719500</v>
      </c>
      <c r="F12" s="25">
        <v>1042000</v>
      </c>
      <c r="G12" s="25">
        <v>820000</v>
      </c>
      <c r="H12" s="25">
        <v>4048500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15287-FD3B-402C-A5C8-E57E64C15363}">
  <sheetPr>
    <tabColor rgb="FFFFFF00"/>
  </sheetPr>
  <dimension ref="A1:V53"/>
  <sheetViews>
    <sheetView tabSelected="1" zoomScale="57" zoomScaleNormal="87" workbookViewId="0">
      <selection activeCell="X18" sqref="X18"/>
    </sheetView>
  </sheetViews>
  <sheetFormatPr baseColWidth="10" defaultRowHeight="14.4" x14ac:dyDescent="0.3"/>
  <cols>
    <col min="1" max="1" width="18.21875" bestFit="1" customWidth="1"/>
    <col min="2" max="2" width="17.109375" bestFit="1" customWidth="1"/>
    <col min="3" max="3" width="18" customWidth="1"/>
    <col min="4" max="4" width="13.21875" bestFit="1" customWidth="1"/>
    <col min="5" max="5" width="14.33203125" bestFit="1" customWidth="1"/>
    <col min="6" max="6" width="13.21875" bestFit="1" customWidth="1"/>
    <col min="7" max="7" width="14.33203125" bestFit="1" customWidth="1"/>
    <col min="8" max="13" width="13.21875" bestFit="1" customWidth="1"/>
    <col min="14" max="14" width="14.33203125" bestFit="1" customWidth="1"/>
    <col min="15" max="15" width="24.88671875" bestFit="1" customWidth="1"/>
    <col min="16" max="16" width="23.5546875" bestFit="1" customWidth="1"/>
    <col min="17" max="17" width="14.33203125" bestFit="1" customWidth="1"/>
    <col min="18" max="21" width="13.21875" bestFit="1" customWidth="1"/>
    <col min="22" max="22" width="14.33203125" bestFit="1" customWidth="1"/>
    <col min="23" max="24" width="13.21875" bestFit="1" customWidth="1"/>
    <col min="25" max="26" width="14.33203125" bestFit="1" customWidth="1"/>
    <col min="27" max="27" width="13.21875" bestFit="1" customWidth="1"/>
    <col min="28" max="28" width="14.33203125" bestFit="1" customWidth="1"/>
    <col min="29" max="35" width="13.21875" bestFit="1" customWidth="1"/>
    <col min="36" max="36" width="14.33203125" bestFit="1" customWidth="1"/>
    <col min="37" max="40" width="13.21875" bestFit="1" customWidth="1"/>
    <col min="41" max="41" width="14.33203125" bestFit="1" customWidth="1"/>
    <col min="42" max="43" width="13.21875" bestFit="1" customWidth="1"/>
    <col min="44" max="46" width="14.33203125" bestFit="1" customWidth="1"/>
    <col min="47" max="51" width="13.21875" bestFit="1" customWidth="1"/>
    <col min="52" max="52" width="14.33203125" bestFit="1" customWidth="1"/>
    <col min="53" max="54" width="13.21875" bestFit="1" customWidth="1"/>
    <col min="55" max="55" width="14.33203125" bestFit="1" customWidth="1"/>
    <col min="56" max="56" width="13.21875" bestFit="1" customWidth="1"/>
    <col min="57" max="57" width="14.33203125" bestFit="1" customWidth="1"/>
    <col min="58" max="58" width="15.88671875" bestFit="1" customWidth="1"/>
  </cols>
  <sheetData>
    <row r="1" spans="1:22" x14ac:dyDescent="0.3">
      <c r="A1" s="53"/>
      <c r="B1" s="54"/>
      <c r="C1" s="54"/>
      <c r="D1" s="54"/>
      <c r="E1" s="54"/>
      <c r="F1" s="54"/>
      <c r="G1" s="54"/>
      <c r="H1" s="54"/>
      <c r="I1" s="54"/>
      <c r="J1" s="54"/>
      <c r="K1" s="54"/>
      <c r="L1" s="54"/>
      <c r="M1" s="54"/>
      <c r="N1" s="54"/>
      <c r="O1" s="54"/>
      <c r="P1" s="54"/>
      <c r="Q1" s="54"/>
      <c r="R1" s="54"/>
      <c r="S1" s="54"/>
      <c r="T1" s="54"/>
      <c r="U1" s="55"/>
      <c r="V1" s="28"/>
    </row>
    <row r="2" spans="1:22" ht="14.4" customHeight="1" x14ac:dyDescent="0.3">
      <c r="A2" s="56"/>
      <c r="B2" s="28"/>
      <c r="C2" s="28"/>
      <c r="D2" s="28"/>
      <c r="E2" s="28"/>
      <c r="F2" s="28"/>
      <c r="G2" s="61"/>
      <c r="H2" s="63"/>
      <c r="I2" s="63"/>
      <c r="J2" s="63"/>
      <c r="K2" s="61"/>
      <c r="L2" s="28"/>
      <c r="M2" s="61"/>
      <c r="N2" s="61"/>
      <c r="O2" s="28"/>
      <c r="P2" s="28"/>
      <c r="Q2" s="28"/>
      <c r="R2" s="28"/>
      <c r="S2" s="28"/>
      <c r="T2" s="28"/>
      <c r="U2" s="61"/>
      <c r="V2" s="28"/>
    </row>
    <row r="3" spans="1:22" ht="14.4" customHeight="1" x14ac:dyDescent="0.3">
      <c r="A3" s="56" t="s">
        <v>167</v>
      </c>
      <c r="B3" s="28" t="s">
        <v>170</v>
      </c>
      <c r="C3" s="28" t="s">
        <v>173</v>
      </c>
      <c r="D3" s="28"/>
      <c r="E3" s="28"/>
      <c r="F3" s="28"/>
      <c r="G3" s="61"/>
      <c r="H3" s="63"/>
      <c r="I3" s="63"/>
      <c r="J3" s="63"/>
      <c r="K3" s="61"/>
      <c r="L3" s="28"/>
      <c r="M3" s="61"/>
      <c r="N3" s="61"/>
      <c r="O3" s="28" t="s">
        <v>167</v>
      </c>
      <c r="P3" s="28" t="s">
        <v>173</v>
      </c>
      <c r="Q3" s="28"/>
      <c r="R3" s="28"/>
      <c r="S3" s="28"/>
      <c r="T3" s="28"/>
      <c r="U3" s="61"/>
      <c r="V3" s="28"/>
    </row>
    <row r="4" spans="1:22" x14ac:dyDescent="0.3">
      <c r="A4" s="57" t="s">
        <v>38</v>
      </c>
      <c r="B4" s="28">
        <v>24</v>
      </c>
      <c r="C4" s="58">
        <v>584500</v>
      </c>
      <c r="D4" s="28"/>
      <c r="E4" s="28"/>
      <c r="F4" s="28"/>
      <c r="G4" s="28"/>
      <c r="H4" s="28"/>
      <c r="I4" s="28"/>
      <c r="J4" s="28"/>
      <c r="K4" s="28"/>
      <c r="L4" s="28"/>
      <c r="M4" s="61"/>
      <c r="N4" s="61"/>
      <c r="O4" s="59" t="s">
        <v>12</v>
      </c>
      <c r="P4" s="58">
        <v>1120000</v>
      </c>
      <c r="Q4" s="28"/>
      <c r="R4" s="28"/>
      <c r="S4" s="28"/>
      <c r="T4" s="28"/>
      <c r="U4" s="61"/>
      <c r="V4" s="28"/>
    </row>
    <row r="5" spans="1:22" x14ac:dyDescent="0.3">
      <c r="A5" s="57" t="s">
        <v>10</v>
      </c>
      <c r="B5" s="28">
        <v>35</v>
      </c>
      <c r="C5" s="58">
        <v>882500</v>
      </c>
      <c r="D5" s="28"/>
      <c r="E5" s="28"/>
      <c r="F5" s="28"/>
      <c r="G5" s="28"/>
      <c r="H5" s="28"/>
      <c r="I5" s="28"/>
      <c r="J5" s="28"/>
      <c r="K5" s="28"/>
      <c r="L5" s="28"/>
      <c r="M5" s="61"/>
      <c r="N5" s="61"/>
      <c r="O5" s="59" t="s">
        <v>21</v>
      </c>
      <c r="P5" s="58">
        <v>825000</v>
      </c>
      <c r="Q5" s="28"/>
      <c r="R5" s="28"/>
      <c r="S5" s="28"/>
      <c r="T5" s="28"/>
      <c r="U5" s="61"/>
      <c r="V5" s="28"/>
    </row>
    <row r="6" spans="1:22" x14ac:dyDescent="0.3">
      <c r="A6" s="57" t="s">
        <v>24</v>
      </c>
      <c r="B6" s="28">
        <v>31</v>
      </c>
      <c r="C6" s="58">
        <v>719500</v>
      </c>
      <c r="D6" s="28"/>
      <c r="E6" s="28"/>
      <c r="F6" s="28"/>
      <c r="G6" s="28"/>
      <c r="H6" s="28"/>
      <c r="I6" s="28"/>
      <c r="J6" s="28"/>
      <c r="K6" s="28"/>
      <c r="L6" s="28"/>
      <c r="M6" s="61"/>
      <c r="N6" s="61"/>
      <c r="O6" s="59" t="s">
        <v>28</v>
      </c>
      <c r="P6" s="58">
        <v>810000</v>
      </c>
      <c r="Q6" s="28"/>
      <c r="R6" s="28"/>
      <c r="S6" s="28"/>
      <c r="T6" s="28"/>
      <c r="U6" s="61"/>
      <c r="V6" s="28"/>
    </row>
    <row r="7" spans="1:22" x14ac:dyDescent="0.3">
      <c r="A7" s="57" t="s">
        <v>20</v>
      </c>
      <c r="B7" s="28">
        <v>41</v>
      </c>
      <c r="C7" s="58">
        <v>1042000</v>
      </c>
      <c r="D7" s="28"/>
      <c r="E7" s="28"/>
      <c r="F7" s="28"/>
      <c r="G7" s="28"/>
      <c r="H7" s="28"/>
      <c r="I7" s="28"/>
      <c r="J7" s="28"/>
      <c r="K7" s="28"/>
      <c r="L7" s="28"/>
      <c r="M7" s="61"/>
      <c r="N7" s="61"/>
      <c r="O7" s="59" t="s">
        <v>30</v>
      </c>
      <c r="P7" s="58">
        <v>416000</v>
      </c>
      <c r="Q7" s="28"/>
      <c r="R7" s="28"/>
      <c r="S7" s="28"/>
      <c r="T7" s="28"/>
      <c r="U7" s="61"/>
      <c r="V7" s="28"/>
    </row>
    <row r="8" spans="1:22" x14ac:dyDescent="0.3">
      <c r="A8" s="57" t="s">
        <v>27</v>
      </c>
      <c r="B8" s="28">
        <v>34</v>
      </c>
      <c r="C8" s="58">
        <v>820000</v>
      </c>
      <c r="D8" s="28"/>
      <c r="E8" s="28"/>
      <c r="F8" s="28"/>
      <c r="G8" s="28"/>
      <c r="H8" s="28"/>
      <c r="I8" s="28"/>
      <c r="J8" s="28"/>
      <c r="K8" s="28"/>
      <c r="L8" s="28"/>
      <c r="M8" s="61"/>
      <c r="N8" s="61"/>
      <c r="O8" s="59" t="s">
        <v>15</v>
      </c>
      <c r="P8" s="58">
        <v>877500</v>
      </c>
      <c r="Q8" s="28"/>
      <c r="R8" s="28"/>
      <c r="S8" s="28"/>
      <c r="T8" s="28"/>
      <c r="U8" s="61"/>
      <c r="V8" s="28"/>
    </row>
    <row r="9" spans="1:22" x14ac:dyDescent="0.3">
      <c r="A9" s="57" t="s">
        <v>168</v>
      </c>
      <c r="B9" s="60">
        <v>165</v>
      </c>
      <c r="C9" s="58">
        <v>4048500</v>
      </c>
      <c r="D9" s="28"/>
      <c r="E9" s="28"/>
      <c r="F9" s="28"/>
      <c r="G9" s="28"/>
      <c r="H9" s="28"/>
      <c r="I9" s="28"/>
      <c r="J9" s="28"/>
      <c r="K9" s="28"/>
      <c r="L9" s="28"/>
      <c r="M9" s="61"/>
      <c r="N9" s="61"/>
      <c r="O9" s="59" t="s">
        <v>168</v>
      </c>
      <c r="P9" s="58">
        <v>4048500</v>
      </c>
      <c r="Q9" s="28"/>
      <c r="R9" s="28"/>
      <c r="S9" s="28"/>
      <c r="T9" s="28"/>
      <c r="U9" s="61"/>
      <c r="V9" s="28"/>
    </row>
    <row r="10" spans="1:22" x14ac:dyDescent="0.3">
      <c r="A10" s="56"/>
      <c r="B10" s="28"/>
      <c r="C10" s="28"/>
      <c r="D10" s="28"/>
      <c r="E10" s="28"/>
      <c r="F10" s="28"/>
      <c r="G10" s="28"/>
      <c r="H10" s="28"/>
      <c r="I10" s="28"/>
      <c r="J10" s="28"/>
      <c r="K10" s="28"/>
      <c r="L10" s="28"/>
      <c r="M10" s="61"/>
      <c r="N10" s="61"/>
      <c r="O10" s="28"/>
      <c r="P10" s="28"/>
      <c r="Q10" s="28"/>
      <c r="R10" s="28"/>
      <c r="S10" s="28"/>
      <c r="T10" s="28"/>
      <c r="U10" s="61"/>
      <c r="V10" s="28"/>
    </row>
    <row r="11" spans="1:22" x14ac:dyDescent="0.3">
      <c r="A11" s="56"/>
      <c r="B11" s="28"/>
      <c r="C11" s="28"/>
      <c r="D11" s="28"/>
      <c r="E11" s="28"/>
      <c r="F11" s="28"/>
      <c r="G11" s="28"/>
      <c r="H11" s="28"/>
      <c r="I11" s="28"/>
      <c r="J11" s="28"/>
      <c r="K11" s="28"/>
      <c r="L11" s="28"/>
      <c r="M11" s="61"/>
      <c r="N11" s="61"/>
      <c r="O11" s="28"/>
      <c r="P11" s="28"/>
      <c r="Q11" s="28"/>
      <c r="R11" s="28"/>
      <c r="S11" s="28"/>
      <c r="T11" s="28"/>
      <c r="U11" s="61"/>
      <c r="V11" s="28"/>
    </row>
    <row r="12" spans="1:22" x14ac:dyDescent="0.3">
      <c r="A12" s="56"/>
      <c r="B12" s="28"/>
      <c r="C12" s="28"/>
      <c r="D12" s="28"/>
      <c r="E12" s="28"/>
      <c r="F12" s="28"/>
      <c r="G12" s="28"/>
      <c r="H12" s="28"/>
      <c r="I12" s="28"/>
      <c r="J12" s="28"/>
      <c r="K12" s="28"/>
      <c r="L12" s="28"/>
      <c r="M12" s="61"/>
      <c r="N12" s="61"/>
      <c r="O12" s="28"/>
      <c r="P12" s="28"/>
      <c r="Q12" s="28"/>
      <c r="R12" s="28"/>
      <c r="S12" s="28"/>
      <c r="T12" s="28"/>
      <c r="U12" s="61"/>
      <c r="V12" s="28"/>
    </row>
    <row r="13" spans="1:22" x14ac:dyDescent="0.3">
      <c r="A13" s="56"/>
      <c r="B13" s="28"/>
      <c r="C13" s="28"/>
      <c r="D13" s="28"/>
      <c r="E13" s="28"/>
      <c r="F13" s="28"/>
      <c r="G13" s="28"/>
      <c r="H13" s="28"/>
      <c r="I13" s="28"/>
      <c r="J13" s="28"/>
      <c r="K13" s="28"/>
      <c r="L13" s="28"/>
      <c r="M13" s="61"/>
      <c r="N13" s="61"/>
      <c r="O13" s="28"/>
      <c r="P13" s="28"/>
      <c r="Q13" s="28"/>
      <c r="R13" s="28"/>
      <c r="S13" s="28"/>
      <c r="T13" s="28"/>
      <c r="U13" s="61"/>
      <c r="V13" s="28"/>
    </row>
    <row r="14" spans="1:22" x14ac:dyDescent="0.3">
      <c r="A14" s="56"/>
      <c r="B14" s="28"/>
      <c r="C14" s="28"/>
      <c r="D14" s="28"/>
      <c r="E14" s="28"/>
      <c r="F14" s="28"/>
      <c r="G14" s="28"/>
      <c r="H14" s="28"/>
      <c r="I14" s="28"/>
      <c r="J14" s="28"/>
      <c r="K14" s="28"/>
      <c r="L14" s="28"/>
      <c r="M14" s="61"/>
      <c r="N14" s="61"/>
      <c r="O14" s="28"/>
      <c r="P14" s="28"/>
      <c r="Q14" s="28"/>
      <c r="R14" s="28"/>
      <c r="S14" s="28"/>
      <c r="T14" s="28"/>
      <c r="U14" s="61"/>
      <c r="V14" s="28"/>
    </row>
    <row r="15" spans="1:22" x14ac:dyDescent="0.3">
      <c r="A15" s="56"/>
      <c r="B15" s="28"/>
      <c r="C15" s="28"/>
      <c r="D15" s="28"/>
      <c r="E15" s="28"/>
      <c r="F15" s="28"/>
      <c r="G15" s="28"/>
      <c r="H15" s="28"/>
      <c r="I15" s="28"/>
      <c r="J15" s="28"/>
      <c r="K15" s="28"/>
      <c r="L15" s="28"/>
      <c r="M15" s="61"/>
      <c r="N15" s="61"/>
      <c r="O15" s="28"/>
      <c r="P15" s="28"/>
      <c r="Q15" s="28"/>
      <c r="R15" s="28"/>
      <c r="S15" s="28"/>
      <c r="T15" s="28"/>
      <c r="U15" s="61"/>
      <c r="V15" s="28"/>
    </row>
    <row r="16" spans="1:22" x14ac:dyDescent="0.3">
      <c r="A16" s="56"/>
      <c r="B16" s="28"/>
      <c r="C16" s="28"/>
      <c r="D16" s="28"/>
      <c r="E16" s="28"/>
      <c r="F16" s="28"/>
      <c r="G16" s="28"/>
      <c r="H16" s="28"/>
      <c r="I16" s="28"/>
      <c r="J16" s="28"/>
      <c r="K16" s="28"/>
      <c r="L16" s="28"/>
      <c r="M16" s="61"/>
      <c r="N16" s="61"/>
      <c r="O16" s="28"/>
      <c r="P16" s="28"/>
      <c r="Q16" s="28"/>
      <c r="R16" s="28"/>
      <c r="S16" s="28"/>
      <c r="T16" s="28"/>
      <c r="U16" s="61"/>
      <c r="V16" s="28"/>
    </row>
    <row r="17" spans="1:22" x14ac:dyDescent="0.3">
      <c r="A17" s="56"/>
      <c r="B17" s="28"/>
      <c r="C17" s="28"/>
      <c r="D17" s="28"/>
      <c r="E17" s="28"/>
      <c r="F17" s="28"/>
      <c r="G17" s="28"/>
      <c r="H17" s="28"/>
      <c r="I17" s="28"/>
      <c r="J17" s="28"/>
      <c r="K17" s="28"/>
      <c r="L17" s="28"/>
      <c r="M17" s="61"/>
      <c r="N17" s="61"/>
      <c r="O17" s="28"/>
      <c r="P17" s="28"/>
      <c r="Q17" s="28"/>
      <c r="R17" s="28"/>
      <c r="S17" s="28"/>
      <c r="T17" s="28"/>
      <c r="U17" s="61"/>
      <c r="V17" s="28"/>
    </row>
    <row r="18" spans="1:22" x14ac:dyDescent="0.3">
      <c r="A18" s="56"/>
      <c r="B18" s="28"/>
      <c r="C18" s="28"/>
      <c r="D18" s="28"/>
      <c r="E18" s="28"/>
      <c r="F18" s="28"/>
      <c r="G18" s="28"/>
      <c r="H18" s="28"/>
      <c r="I18" s="28"/>
      <c r="J18" s="28"/>
      <c r="K18" s="28"/>
      <c r="L18" s="28"/>
      <c r="M18" s="61"/>
      <c r="N18" s="61"/>
      <c r="O18" s="28"/>
      <c r="P18" s="28"/>
      <c r="Q18" s="28"/>
      <c r="R18" s="28"/>
      <c r="S18" s="28"/>
      <c r="T18" s="28"/>
      <c r="U18" s="61"/>
      <c r="V18" s="28"/>
    </row>
    <row r="19" spans="1:22" x14ac:dyDescent="0.3">
      <c r="A19" s="56"/>
      <c r="B19" s="28"/>
      <c r="C19" s="28"/>
      <c r="D19" s="28"/>
      <c r="E19" s="28"/>
      <c r="F19" s="28"/>
      <c r="G19" s="28"/>
      <c r="H19" s="28"/>
      <c r="I19" s="28"/>
      <c r="J19" s="28"/>
      <c r="K19" s="28"/>
      <c r="L19" s="28"/>
      <c r="M19" s="61"/>
      <c r="N19" s="61"/>
      <c r="O19" s="28"/>
      <c r="P19" s="28"/>
      <c r="Q19" s="28"/>
      <c r="R19" s="28"/>
      <c r="S19" s="28"/>
      <c r="T19" s="28"/>
      <c r="U19" s="61"/>
      <c r="V19" s="28"/>
    </row>
    <row r="20" spans="1:22" x14ac:dyDescent="0.3">
      <c r="A20" s="56"/>
      <c r="B20" s="28"/>
      <c r="C20" s="28"/>
      <c r="D20" s="28"/>
      <c r="E20" s="28"/>
      <c r="F20" s="28"/>
      <c r="G20" s="28"/>
      <c r="H20" s="28"/>
      <c r="I20" s="28"/>
      <c r="J20" s="28"/>
      <c r="K20" s="28"/>
      <c r="L20" s="28"/>
      <c r="M20" s="61"/>
      <c r="N20" s="61"/>
      <c r="O20" s="28"/>
      <c r="P20" s="28"/>
      <c r="Q20" s="28"/>
      <c r="R20" s="28"/>
      <c r="S20" s="28"/>
      <c r="T20" s="28"/>
      <c r="U20" s="61"/>
      <c r="V20" s="28"/>
    </row>
    <row r="21" spans="1:22" ht="14.4" customHeight="1" x14ac:dyDescent="0.3">
      <c r="A21" s="56"/>
      <c r="B21" s="28"/>
      <c r="C21" s="28"/>
      <c r="D21" s="28"/>
      <c r="E21" s="28"/>
      <c r="F21" s="28"/>
      <c r="G21" s="28"/>
      <c r="H21" s="28"/>
      <c r="I21" s="28"/>
      <c r="J21" s="28"/>
      <c r="K21" s="28"/>
      <c r="L21" s="28"/>
      <c r="M21" s="61"/>
      <c r="N21" s="61"/>
      <c r="O21" s="28"/>
      <c r="P21" s="28"/>
      <c r="Q21" s="28"/>
      <c r="R21" s="28"/>
      <c r="S21" s="28"/>
      <c r="T21" s="28"/>
      <c r="U21" s="61"/>
      <c r="V21" s="28"/>
    </row>
    <row r="22" spans="1:22" x14ac:dyDescent="0.3">
      <c r="A22" s="56"/>
      <c r="B22" s="28"/>
      <c r="C22" s="28"/>
      <c r="D22" s="28"/>
      <c r="E22" s="28"/>
      <c r="F22" s="28"/>
      <c r="G22" s="28"/>
      <c r="H22" s="28"/>
      <c r="I22" s="28"/>
      <c r="J22" s="28"/>
      <c r="K22" s="28"/>
      <c r="L22" s="28"/>
      <c r="M22" s="61"/>
      <c r="N22" s="61"/>
      <c r="O22" s="28"/>
      <c r="P22" s="28"/>
      <c r="Q22" s="28"/>
      <c r="R22" s="28"/>
      <c r="S22" s="28"/>
      <c r="T22" s="28"/>
      <c r="U22" s="61"/>
      <c r="V22" s="28"/>
    </row>
    <row r="23" spans="1:22" x14ac:dyDescent="0.3">
      <c r="A23" s="56"/>
      <c r="B23" s="28"/>
      <c r="C23" s="28"/>
      <c r="D23" s="28"/>
      <c r="E23" s="28"/>
      <c r="F23" s="28"/>
      <c r="G23" s="28"/>
      <c r="H23" s="28"/>
      <c r="I23" s="28"/>
      <c r="J23" s="28"/>
      <c r="K23" s="28"/>
      <c r="L23" s="28"/>
      <c r="M23" s="61"/>
      <c r="N23" s="61"/>
      <c r="O23" s="28"/>
      <c r="P23" s="28"/>
      <c r="Q23" s="28"/>
      <c r="R23" s="28"/>
      <c r="S23" s="28"/>
      <c r="T23" s="28"/>
      <c r="U23" s="61"/>
      <c r="V23" s="28"/>
    </row>
    <row r="24" spans="1:22" x14ac:dyDescent="0.3">
      <c r="A24" s="56"/>
      <c r="B24" s="28"/>
      <c r="C24" s="28"/>
      <c r="D24" s="28"/>
      <c r="E24" s="28"/>
      <c r="F24" s="28"/>
      <c r="G24" s="28"/>
      <c r="H24" s="28"/>
      <c r="I24" s="28"/>
      <c r="J24" s="28"/>
      <c r="K24" s="28"/>
      <c r="L24" s="28"/>
      <c r="M24" s="61"/>
      <c r="N24" s="61"/>
      <c r="O24" s="28"/>
      <c r="P24" s="28"/>
      <c r="Q24" s="28"/>
      <c r="R24" s="28"/>
      <c r="S24" s="28"/>
      <c r="T24" s="28"/>
      <c r="U24" s="61"/>
      <c r="V24" s="28"/>
    </row>
    <row r="25" spans="1:22" x14ac:dyDescent="0.3">
      <c r="A25" s="56"/>
      <c r="B25" s="61"/>
      <c r="C25" s="61"/>
      <c r="D25" s="61"/>
      <c r="E25" s="61"/>
      <c r="F25" s="61"/>
      <c r="G25" s="61"/>
      <c r="H25" s="61"/>
      <c r="I25" s="61"/>
      <c r="J25" s="61"/>
      <c r="K25" s="61"/>
      <c r="L25" s="61"/>
      <c r="M25" s="61"/>
      <c r="N25" s="61"/>
      <c r="O25" s="28"/>
      <c r="P25" s="28"/>
      <c r="Q25" s="28"/>
      <c r="R25" s="28"/>
      <c r="S25" s="28"/>
      <c r="T25" s="28"/>
      <c r="U25" s="61"/>
      <c r="V25" s="28"/>
    </row>
    <row r="26" spans="1:22" x14ac:dyDescent="0.3">
      <c r="A26" s="61"/>
      <c r="B26" s="61"/>
      <c r="C26" s="61"/>
      <c r="D26" s="61"/>
      <c r="E26" s="61"/>
      <c r="F26" s="61"/>
      <c r="G26" s="61"/>
      <c r="H26" s="61"/>
      <c r="I26" s="61"/>
      <c r="J26" s="61"/>
      <c r="K26" s="61"/>
      <c r="L26" s="61"/>
      <c r="M26" s="61"/>
      <c r="N26" s="61"/>
      <c r="O26" s="28"/>
      <c r="P26" s="28"/>
      <c r="Q26" s="28"/>
      <c r="R26" s="28"/>
      <c r="S26" s="28"/>
      <c r="T26" s="28"/>
      <c r="U26" s="61"/>
      <c r="V26" s="28"/>
    </row>
    <row r="27" spans="1:22" x14ac:dyDescent="0.3">
      <c r="A27" s="56"/>
      <c r="B27" s="28"/>
      <c r="C27" s="61"/>
      <c r="D27" s="61"/>
      <c r="E27" s="61"/>
      <c r="F27" s="61"/>
      <c r="G27" s="61"/>
      <c r="H27" s="61"/>
      <c r="I27" s="61"/>
      <c r="J27" s="61"/>
      <c r="K27" s="61"/>
      <c r="L27" s="61"/>
      <c r="M27" s="61"/>
      <c r="N27" s="61"/>
      <c r="O27" s="28"/>
      <c r="P27" s="28"/>
      <c r="Q27" s="28"/>
      <c r="R27" s="28"/>
      <c r="S27" s="28"/>
      <c r="T27" s="28"/>
      <c r="U27" s="61"/>
      <c r="V27" s="28"/>
    </row>
    <row r="28" spans="1:22" ht="14.4" customHeight="1" x14ac:dyDescent="0.3">
      <c r="A28" s="56"/>
      <c r="B28" s="28"/>
      <c r="C28" s="61"/>
      <c r="D28" s="61"/>
      <c r="E28" s="64"/>
      <c r="F28" s="64"/>
      <c r="G28" s="64"/>
      <c r="H28" s="64"/>
      <c r="I28" s="64"/>
      <c r="J28" s="64"/>
      <c r="K28" s="61"/>
      <c r="L28" s="61"/>
      <c r="M28" s="61"/>
      <c r="N28" s="61"/>
      <c r="O28" s="28"/>
      <c r="P28" s="28"/>
      <c r="Q28" s="28"/>
      <c r="R28" s="28"/>
      <c r="S28" s="28"/>
      <c r="T28" s="28"/>
      <c r="U28" s="61"/>
      <c r="V28" s="28"/>
    </row>
    <row r="29" spans="1:22" x14ac:dyDescent="0.3">
      <c r="A29" s="56"/>
      <c r="B29" s="28"/>
      <c r="C29" s="61"/>
      <c r="D29" s="61"/>
      <c r="E29" s="64"/>
      <c r="F29" s="64"/>
      <c r="G29" s="64"/>
      <c r="H29" s="64"/>
      <c r="I29" s="64"/>
      <c r="J29" s="64"/>
      <c r="K29" s="61"/>
      <c r="L29" s="61"/>
      <c r="M29" s="61"/>
      <c r="N29" s="61"/>
      <c r="O29" s="28"/>
      <c r="P29" s="28"/>
      <c r="Q29" s="28"/>
      <c r="R29" s="28"/>
      <c r="S29" s="28"/>
      <c r="T29" s="28"/>
      <c r="U29" s="61"/>
      <c r="V29" s="28"/>
    </row>
    <row r="30" spans="1:22" x14ac:dyDescent="0.3">
      <c r="A30" s="56"/>
      <c r="B30" s="28"/>
      <c r="C30" s="61"/>
      <c r="D30" s="61"/>
      <c r="E30" s="64"/>
      <c r="F30" s="64"/>
      <c r="G30" s="64"/>
      <c r="H30" s="64"/>
      <c r="I30" s="64"/>
      <c r="J30" s="64"/>
      <c r="K30" s="61"/>
      <c r="L30" s="61"/>
      <c r="M30" s="61"/>
      <c r="N30" s="61"/>
      <c r="O30" s="28"/>
      <c r="P30" s="28"/>
      <c r="Q30" s="28"/>
      <c r="R30" s="28"/>
      <c r="S30" s="28"/>
      <c r="T30" s="28"/>
      <c r="U30" s="61"/>
      <c r="V30" s="28"/>
    </row>
    <row r="31" spans="1:22" x14ac:dyDescent="0.3">
      <c r="A31" s="56"/>
      <c r="B31" s="28"/>
      <c r="C31" s="61"/>
      <c r="D31" s="61"/>
      <c r="E31" s="64"/>
      <c r="F31" s="64"/>
      <c r="G31" s="64"/>
      <c r="H31" s="64"/>
      <c r="I31" s="64"/>
      <c r="J31" s="64"/>
      <c r="K31" s="61"/>
      <c r="L31" s="61"/>
      <c r="M31" s="61"/>
      <c r="N31" s="61"/>
      <c r="O31" s="28"/>
      <c r="P31" s="28"/>
      <c r="Q31" s="28"/>
      <c r="R31" s="28"/>
      <c r="S31" s="28"/>
      <c r="T31" s="28"/>
      <c r="U31" s="61"/>
      <c r="V31" s="28"/>
    </row>
    <row r="32" spans="1:22" x14ac:dyDescent="0.3">
      <c r="A32" s="56"/>
      <c r="B32" s="28"/>
      <c r="C32" s="61"/>
      <c r="D32" s="61"/>
      <c r="E32" s="28"/>
      <c r="F32" s="28"/>
      <c r="G32" s="28"/>
      <c r="H32" s="28"/>
      <c r="I32" s="28"/>
      <c r="J32" s="28"/>
      <c r="K32" s="61"/>
      <c r="L32" s="28"/>
      <c r="M32" s="61"/>
      <c r="N32" s="61"/>
      <c r="O32" s="28"/>
      <c r="P32" s="28"/>
      <c r="Q32" s="28"/>
      <c r="R32" s="28"/>
      <c r="S32" s="28"/>
      <c r="T32" s="28"/>
      <c r="U32" s="61"/>
      <c r="V32" s="28"/>
    </row>
    <row r="33" spans="1:22" x14ac:dyDescent="0.3">
      <c r="A33" s="56"/>
      <c r="B33" s="28"/>
      <c r="C33" s="61"/>
      <c r="D33" s="61"/>
      <c r="E33" s="28"/>
      <c r="F33" s="28"/>
      <c r="G33" s="28"/>
      <c r="H33" s="28"/>
      <c r="I33" s="28"/>
      <c r="J33" s="28"/>
      <c r="K33" s="61"/>
      <c r="L33" s="28"/>
      <c r="M33" s="61"/>
      <c r="N33" s="61"/>
      <c r="O33" s="28"/>
      <c r="P33" s="28"/>
      <c r="Q33" s="28"/>
      <c r="R33" s="28"/>
      <c r="S33" s="28"/>
      <c r="T33" s="28"/>
      <c r="U33" s="61"/>
      <c r="V33" s="28"/>
    </row>
    <row r="34" spans="1:22" x14ac:dyDescent="0.3">
      <c r="A34" s="56"/>
      <c r="B34" s="28"/>
      <c r="C34" s="61"/>
      <c r="D34" s="61"/>
      <c r="E34" s="28"/>
      <c r="F34" s="28"/>
      <c r="G34" s="28"/>
      <c r="H34" s="28"/>
      <c r="I34" s="28"/>
      <c r="J34" s="28"/>
      <c r="K34" s="61"/>
      <c r="L34" s="28"/>
      <c r="M34" s="61"/>
      <c r="N34" s="61"/>
      <c r="O34" s="28"/>
      <c r="P34" s="28"/>
      <c r="Q34" s="28"/>
      <c r="R34" s="28"/>
      <c r="S34" s="28"/>
      <c r="T34" s="28"/>
      <c r="U34" s="61"/>
      <c r="V34" s="28"/>
    </row>
    <row r="35" spans="1:22" ht="14.4" customHeight="1" x14ac:dyDescent="0.3">
      <c r="A35" s="56"/>
      <c r="B35" s="28"/>
      <c r="C35" s="61"/>
      <c r="D35" s="61"/>
      <c r="E35" s="28"/>
      <c r="F35" s="28"/>
      <c r="G35" s="28"/>
      <c r="H35" s="28"/>
      <c r="I35" s="28"/>
      <c r="J35" s="28"/>
      <c r="K35" s="61"/>
      <c r="L35" s="28"/>
      <c r="M35" s="61"/>
      <c r="N35" s="61"/>
      <c r="O35" s="28"/>
      <c r="P35" s="28"/>
      <c r="Q35" s="28"/>
      <c r="R35" s="28"/>
      <c r="S35" s="28"/>
      <c r="T35" s="28"/>
      <c r="U35" s="61"/>
      <c r="V35" s="28"/>
    </row>
    <row r="36" spans="1:22" ht="15" customHeight="1" x14ac:dyDescent="0.3">
      <c r="A36" s="56" t="s">
        <v>167</v>
      </c>
      <c r="B36" s="28" t="s">
        <v>173</v>
      </c>
      <c r="C36" s="61"/>
      <c r="D36" s="61"/>
      <c r="E36" s="28"/>
      <c r="F36" s="28"/>
      <c r="G36" s="28"/>
      <c r="H36" s="28"/>
      <c r="I36" s="28"/>
      <c r="J36" s="28"/>
      <c r="K36" s="61"/>
      <c r="L36" s="28"/>
      <c r="M36" s="61"/>
      <c r="N36" s="61"/>
      <c r="O36" s="28"/>
      <c r="P36" s="28"/>
      <c r="Q36" s="28"/>
      <c r="R36" s="28"/>
      <c r="S36" s="28"/>
      <c r="T36" s="28"/>
      <c r="U36" s="61"/>
      <c r="V36" s="28"/>
    </row>
    <row r="37" spans="1:22" x14ac:dyDescent="0.3">
      <c r="A37" s="57" t="s">
        <v>181</v>
      </c>
      <c r="B37" s="58">
        <v>300000</v>
      </c>
      <c r="C37" s="61"/>
      <c r="D37" s="61"/>
      <c r="E37" s="28"/>
      <c r="F37" s="28"/>
      <c r="G37" s="28"/>
      <c r="H37" s="28"/>
      <c r="I37" s="28"/>
      <c r="J37" s="28"/>
      <c r="K37" s="61"/>
      <c r="L37" s="28"/>
      <c r="M37" s="61"/>
      <c r="N37" s="61"/>
      <c r="O37" s="28"/>
      <c r="P37" s="28"/>
      <c r="Q37" s="28"/>
      <c r="R37" s="28"/>
      <c r="S37" s="28"/>
      <c r="T37" s="28"/>
      <c r="U37" s="61"/>
      <c r="V37" s="28"/>
    </row>
    <row r="38" spans="1:22" x14ac:dyDescent="0.3">
      <c r="A38" s="57" t="s">
        <v>174</v>
      </c>
      <c r="B38" s="58">
        <v>356000</v>
      </c>
      <c r="C38" s="61"/>
      <c r="D38" s="61"/>
      <c r="E38" s="28"/>
      <c r="F38" s="28"/>
      <c r="G38" s="28"/>
      <c r="H38" s="28"/>
      <c r="I38" s="28"/>
      <c r="J38" s="28"/>
      <c r="K38" s="61"/>
      <c r="L38" s="28"/>
      <c r="M38" s="61"/>
      <c r="N38" s="61"/>
      <c r="O38" s="28"/>
      <c r="P38" s="28"/>
      <c r="Q38" s="28"/>
      <c r="R38" s="28"/>
      <c r="S38" s="28"/>
      <c r="T38" s="28"/>
      <c r="U38" s="61"/>
      <c r="V38" s="28"/>
    </row>
    <row r="39" spans="1:22" x14ac:dyDescent="0.3">
      <c r="A39" s="57" t="s">
        <v>175</v>
      </c>
      <c r="B39" s="58">
        <v>399500</v>
      </c>
      <c r="C39" s="61"/>
      <c r="D39" s="61"/>
      <c r="E39" s="28"/>
      <c r="F39" s="28"/>
      <c r="G39" s="28"/>
      <c r="H39" s="28"/>
      <c r="I39" s="28"/>
      <c r="J39" s="28"/>
      <c r="K39" s="61"/>
      <c r="L39" s="28"/>
      <c r="M39" s="61"/>
      <c r="N39" s="61"/>
      <c r="O39" s="28"/>
      <c r="P39" s="28"/>
      <c r="Q39" s="28"/>
      <c r="R39" s="28"/>
      <c r="S39" s="28"/>
      <c r="T39" s="28"/>
      <c r="U39" s="61"/>
      <c r="V39" s="28"/>
    </row>
    <row r="40" spans="1:22" x14ac:dyDescent="0.3">
      <c r="A40" s="57" t="s">
        <v>176</v>
      </c>
      <c r="B40" s="58">
        <v>593000</v>
      </c>
      <c r="C40" s="61"/>
      <c r="D40" s="61"/>
      <c r="E40" s="28"/>
      <c r="F40" s="28"/>
      <c r="G40" s="28"/>
      <c r="H40" s="28"/>
      <c r="I40" s="28"/>
      <c r="J40" s="28"/>
      <c r="K40" s="61"/>
      <c r="L40" s="28"/>
      <c r="M40" s="61"/>
      <c r="N40" s="61"/>
      <c r="O40" s="28"/>
      <c r="P40" s="28"/>
      <c r="Q40" s="28"/>
      <c r="R40" s="28"/>
      <c r="S40" s="28"/>
      <c r="T40" s="28"/>
      <c r="U40" s="61"/>
      <c r="V40" s="28"/>
    </row>
    <row r="41" spans="1:22" x14ac:dyDescent="0.3">
      <c r="A41" s="57" t="s">
        <v>177</v>
      </c>
      <c r="B41" s="58">
        <v>323000</v>
      </c>
      <c r="C41" s="61"/>
      <c r="D41" s="61"/>
      <c r="E41" s="28"/>
      <c r="F41" s="28"/>
      <c r="G41" s="28"/>
      <c r="H41" s="28"/>
      <c r="I41" s="28"/>
      <c r="J41" s="28"/>
      <c r="K41" s="61"/>
      <c r="L41" s="28"/>
      <c r="M41" s="61"/>
      <c r="N41" s="61"/>
      <c r="O41" s="28"/>
      <c r="P41" s="28"/>
      <c r="Q41" s="28"/>
      <c r="R41" s="28"/>
      <c r="S41" s="28"/>
      <c r="T41" s="28"/>
      <c r="U41" s="61"/>
      <c r="V41" s="28"/>
    </row>
    <row r="42" spans="1:22" x14ac:dyDescent="0.3">
      <c r="A42" s="57" t="s">
        <v>182</v>
      </c>
      <c r="B42" s="58">
        <v>528500</v>
      </c>
      <c r="C42" s="61"/>
      <c r="D42" s="61"/>
      <c r="E42" s="28"/>
      <c r="F42" s="28"/>
      <c r="G42" s="28"/>
      <c r="H42" s="28"/>
      <c r="I42" s="28"/>
      <c r="J42" s="28"/>
      <c r="K42" s="61"/>
      <c r="L42" s="28"/>
      <c r="M42" s="61"/>
      <c r="N42" s="61"/>
      <c r="O42" s="28"/>
      <c r="P42" s="28"/>
      <c r="Q42" s="28"/>
      <c r="R42" s="28"/>
      <c r="S42" s="28"/>
      <c r="T42" s="28"/>
      <c r="U42" s="61"/>
      <c r="V42" s="28"/>
    </row>
    <row r="43" spans="1:22" x14ac:dyDescent="0.3">
      <c r="A43" s="57" t="s">
        <v>184</v>
      </c>
      <c r="B43" s="58">
        <v>228500</v>
      </c>
      <c r="C43" s="61"/>
      <c r="D43" s="61"/>
      <c r="E43" s="28"/>
      <c r="F43" s="28"/>
      <c r="G43" s="28"/>
      <c r="H43" s="28"/>
      <c r="I43" s="28"/>
      <c r="J43" s="28"/>
      <c r="K43" s="61"/>
      <c r="L43" s="28"/>
      <c r="M43" s="61"/>
      <c r="N43" s="61"/>
      <c r="O43" s="28"/>
      <c r="P43" s="28"/>
      <c r="Q43" s="28"/>
      <c r="R43" s="28"/>
      <c r="S43" s="28"/>
      <c r="T43" s="28"/>
      <c r="U43" s="61"/>
      <c r="V43" s="28"/>
    </row>
    <row r="44" spans="1:22" x14ac:dyDescent="0.3">
      <c r="A44" s="57" t="s">
        <v>178</v>
      </c>
      <c r="B44" s="58">
        <v>477000</v>
      </c>
      <c r="C44" s="61"/>
      <c r="D44" s="61"/>
      <c r="E44" s="28"/>
      <c r="F44" s="28"/>
      <c r="G44" s="28"/>
      <c r="H44" s="28"/>
      <c r="I44" s="28"/>
      <c r="J44" s="28"/>
      <c r="K44" s="61"/>
      <c r="L44" s="28"/>
      <c r="M44" s="61"/>
      <c r="N44" s="61"/>
      <c r="O44" s="28"/>
      <c r="P44" s="28"/>
      <c r="Q44" s="28"/>
      <c r="R44" s="28"/>
      <c r="S44" s="28"/>
      <c r="T44" s="28"/>
      <c r="U44" s="61"/>
      <c r="V44" s="28"/>
    </row>
    <row r="45" spans="1:22" x14ac:dyDescent="0.3">
      <c r="A45" s="57" t="s">
        <v>183</v>
      </c>
      <c r="B45" s="58">
        <v>112500</v>
      </c>
      <c r="C45" s="61"/>
      <c r="D45" s="61"/>
      <c r="E45" s="28"/>
      <c r="F45" s="28"/>
      <c r="G45" s="28"/>
      <c r="H45" s="28"/>
      <c r="I45" s="28"/>
      <c r="J45" s="28"/>
      <c r="K45" s="61"/>
      <c r="L45" s="28"/>
      <c r="M45" s="61"/>
      <c r="N45" s="61"/>
      <c r="O45" s="28"/>
      <c r="P45" s="28"/>
      <c r="Q45" s="28"/>
      <c r="R45" s="28"/>
      <c r="S45" s="28"/>
      <c r="T45" s="28"/>
      <c r="U45" s="61"/>
      <c r="V45" s="28"/>
    </row>
    <row r="46" spans="1:22" x14ac:dyDescent="0.3">
      <c r="A46" s="57" t="s">
        <v>179</v>
      </c>
      <c r="B46" s="58">
        <v>333500</v>
      </c>
      <c r="C46" s="61"/>
      <c r="D46" s="61"/>
      <c r="E46" s="28"/>
      <c r="F46" s="28"/>
      <c r="G46" s="28"/>
      <c r="H46" s="28"/>
      <c r="I46" s="28"/>
      <c r="J46" s="28"/>
      <c r="K46" s="61"/>
      <c r="L46" s="28"/>
      <c r="M46" s="61"/>
      <c r="N46" s="61"/>
      <c r="O46" s="28"/>
      <c r="P46" s="28"/>
      <c r="Q46" s="28"/>
      <c r="R46" s="28"/>
      <c r="S46" s="28"/>
      <c r="T46" s="28"/>
      <c r="U46" s="61"/>
      <c r="V46" s="28"/>
    </row>
    <row r="47" spans="1:22" x14ac:dyDescent="0.3">
      <c r="A47" s="57" t="s">
        <v>180</v>
      </c>
      <c r="B47" s="58">
        <v>397000</v>
      </c>
      <c r="C47" s="61"/>
      <c r="D47" s="61"/>
      <c r="E47" s="28"/>
      <c r="F47" s="28"/>
      <c r="G47" s="28"/>
      <c r="H47" s="28"/>
      <c r="I47" s="28"/>
      <c r="J47" s="28"/>
      <c r="K47" s="61"/>
      <c r="L47" s="28"/>
      <c r="M47" s="61"/>
      <c r="N47" s="61"/>
      <c r="O47" s="28"/>
      <c r="P47" s="28"/>
      <c r="Q47" s="28"/>
      <c r="R47" s="28"/>
      <c r="S47" s="28"/>
      <c r="T47" s="28"/>
      <c r="U47" s="61"/>
      <c r="V47" s="28"/>
    </row>
    <row r="48" spans="1:22" x14ac:dyDescent="0.3">
      <c r="A48" s="57" t="s">
        <v>168</v>
      </c>
      <c r="B48" s="58">
        <v>4048500</v>
      </c>
      <c r="C48" s="61"/>
      <c r="D48" s="61"/>
      <c r="E48" s="28"/>
      <c r="F48" s="28"/>
      <c r="G48" s="28"/>
      <c r="H48" s="28"/>
      <c r="I48" s="28"/>
      <c r="J48" s="28"/>
      <c r="K48" s="61"/>
      <c r="L48" s="28"/>
      <c r="M48" s="61"/>
      <c r="N48" s="61"/>
      <c r="O48" s="28"/>
      <c r="P48" s="28"/>
      <c r="Q48" s="28"/>
      <c r="R48" s="28"/>
      <c r="S48" s="28"/>
      <c r="T48" s="28"/>
      <c r="U48" s="61"/>
      <c r="V48" s="28"/>
    </row>
    <row r="49" spans="1:22" x14ac:dyDescent="0.3">
      <c r="A49" s="56"/>
      <c r="B49" s="28"/>
      <c r="C49" s="61"/>
      <c r="D49" s="61"/>
      <c r="E49" s="28"/>
      <c r="F49" s="28"/>
      <c r="G49" s="28"/>
      <c r="H49" s="28"/>
      <c r="I49" s="28"/>
      <c r="J49" s="28"/>
      <c r="K49" s="61"/>
      <c r="L49" s="28"/>
      <c r="M49" s="61"/>
      <c r="N49" s="61"/>
      <c r="O49" s="28"/>
      <c r="P49" s="28"/>
      <c r="Q49" s="28"/>
      <c r="R49" s="28"/>
      <c r="S49" s="28"/>
      <c r="T49" s="28"/>
      <c r="U49" s="61"/>
      <c r="V49" s="28"/>
    </row>
    <row r="50" spans="1:22" x14ac:dyDescent="0.3">
      <c r="A50" s="56"/>
      <c r="B50" s="28"/>
      <c r="C50" s="61"/>
      <c r="D50" s="61"/>
      <c r="E50" s="61"/>
      <c r="F50" s="61"/>
      <c r="G50" s="61"/>
      <c r="H50" s="61"/>
      <c r="I50" s="61"/>
      <c r="J50" s="61"/>
      <c r="K50" s="61"/>
      <c r="L50" s="28"/>
      <c r="M50" s="61"/>
      <c r="N50" s="61"/>
      <c r="O50" s="28"/>
      <c r="P50" s="28"/>
      <c r="Q50" s="28"/>
      <c r="R50" s="28"/>
      <c r="S50" s="28"/>
      <c r="T50" s="28"/>
      <c r="U50" s="61"/>
      <c r="V50" s="28"/>
    </row>
    <row r="51" spans="1:22" x14ac:dyDescent="0.3">
      <c r="A51" s="61"/>
      <c r="B51" s="61"/>
      <c r="C51" s="61"/>
      <c r="D51" s="61"/>
      <c r="E51" s="61"/>
      <c r="F51" s="61"/>
      <c r="G51" s="61"/>
      <c r="H51" s="61"/>
      <c r="I51" s="61"/>
      <c r="J51" s="61"/>
      <c r="K51" s="61"/>
      <c r="L51" s="61"/>
      <c r="M51" s="61"/>
      <c r="N51" s="61"/>
      <c r="O51" s="61"/>
      <c r="P51" s="61"/>
      <c r="Q51" s="61"/>
      <c r="R51" s="61"/>
      <c r="S51" s="61"/>
      <c r="T51" s="61"/>
      <c r="U51" s="61"/>
      <c r="V51" s="28"/>
    </row>
    <row r="52" spans="1:22" x14ac:dyDescent="0.3">
      <c r="A52" s="28"/>
      <c r="B52" s="28"/>
      <c r="C52" s="61"/>
      <c r="D52" s="61"/>
      <c r="E52" s="28"/>
      <c r="F52" s="28"/>
      <c r="G52" s="28"/>
      <c r="H52" s="28"/>
      <c r="I52" s="28"/>
      <c r="J52" s="28"/>
      <c r="K52" s="28"/>
      <c r="L52" s="28"/>
      <c r="M52" s="61"/>
      <c r="N52" s="61"/>
      <c r="O52" s="61"/>
      <c r="P52" s="61"/>
      <c r="Q52" s="61"/>
      <c r="R52" s="61"/>
      <c r="S52" s="61"/>
      <c r="T52" s="61"/>
      <c r="U52" s="61"/>
      <c r="V52" s="61"/>
    </row>
    <row r="53" spans="1:22" x14ac:dyDescent="0.3">
      <c r="C53" s="62"/>
      <c r="D53" s="62"/>
      <c r="U53" s="62"/>
    </row>
  </sheetData>
  <mergeCells count="2">
    <mergeCell ref="E28:J31"/>
    <mergeCell ref="H2:J3"/>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3"/>
  <sheetViews>
    <sheetView showGridLines="0" workbookViewId="0">
      <selection activeCell="J4" sqref="J4"/>
    </sheetView>
  </sheetViews>
  <sheetFormatPr baseColWidth="10" defaultColWidth="8.77734375" defaultRowHeight="14.4" x14ac:dyDescent="0.3"/>
  <cols>
    <col min="1" max="1" width="18" customWidth="1"/>
    <col min="2" max="2" width="55" customWidth="1"/>
    <col min="3" max="8" width="18" customWidth="1"/>
  </cols>
  <sheetData>
    <row r="1" spans="1:8" ht="34.950000000000003" customHeight="1" x14ac:dyDescent="0.3">
      <c r="A1" s="44" t="s">
        <v>130</v>
      </c>
      <c r="B1" s="30"/>
      <c r="C1" s="30"/>
      <c r="D1" s="30"/>
      <c r="E1" s="30"/>
      <c r="F1" s="30"/>
      <c r="G1" s="30"/>
      <c r="H1" s="30"/>
    </row>
    <row r="2" spans="1:8" x14ac:dyDescent="0.3">
      <c r="A2" s="47" t="s">
        <v>186</v>
      </c>
      <c r="B2" s="30"/>
      <c r="C2" s="30"/>
      <c r="D2" s="30"/>
      <c r="E2" s="30"/>
      <c r="F2" s="30"/>
      <c r="G2" s="30"/>
      <c r="H2" s="30"/>
    </row>
    <row r="3" spans="1:8" ht="49.95" customHeight="1" x14ac:dyDescent="0.3">
      <c r="A3" s="37" t="s">
        <v>131</v>
      </c>
      <c r="B3" s="30"/>
      <c r="C3" s="30"/>
      <c r="D3" s="30"/>
      <c r="E3" s="30"/>
      <c r="F3" s="30"/>
      <c r="G3" s="30"/>
      <c r="H3" s="30"/>
    </row>
    <row r="5" spans="1:8" ht="22.05" customHeight="1" x14ac:dyDescent="0.3">
      <c r="A5" s="38" t="s">
        <v>132</v>
      </c>
      <c r="B5" s="30"/>
      <c r="C5" s="30"/>
      <c r="D5" s="30"/>
      <c r="E5" s="30"/>
      <c r="F5" s="30"/>
      <c r="G5" s="30"/>
      <c r="H5" s="30"/>
    </row>
    <row r="6" spans="1:8" ht="22.05" customHeight="1" x14ac:dyDescent="0.3">
      <c r="A6" s="51" t="s">
        <v>133</v>
      </c>
      <c r="B6" s="52"/>
      <c r="C6" s="52"/>
      <c r="D6" s="52"/>
      <c r="E6" s="52"/>
      <c r="F6" s="52"/>
      <c r="G6" s="52"/>
      <c r="H6" s="52"/>
    </row>
    <row r="7" spans="1:8" ht="22.05" customHeight="1" x14ac:dyDescent="0.3">
      <c r="A7" s="51" t="s">
        <v>134</v>
      </c>
      <c r="B7" s="52"/>
      <c r="C7" s="52"/>
      <c r="D7" s="52"/>
      <c r="E7" s="52"/>
      <c r="F7" s="52"/>
      <c r="G7" s="52"/>
      <c r="H7" s="52"/>
    </row>
    <row r="8" spans="1:8" ht="22.05" customHeight="1" x14ac:dyDescent="0.3">
      <c r="A8" s="51" t="s">
        <v>135</v>
      </c>
      <c r="B8" s="52"/>
      <c r="C8" s="52"/>
      <c r="D8" s="52"/>
      <c r="E8" s="52"/>
      <c r="F8" s="52"/>
      <c r="G8" s="52"/>
      <c r="H8" s="52"/>
    </row>
    <row r="9" spans="1:8" ht="22.05" customHeight="1" x14ac:dyDescent="0.3">
      <c r="A9" s="51" t="s">
        <v>136</v>
      </c>
      <c r="B9" s="52"/>
      <c r="C9" s="52"/>
      <c r="D9" s="52"/>
      <c r="E9" s="52"/>
      <c r="F9" s="52"/>
      <c r="G9" s="52"/>
      <c r="H9" s="52"/>
    </row>
    <row r="10" spans="1:8" ht="22.05" customHeight="1" x14ac:dyDescent="0.3">
      <c r="A10" s="51" t="s">
        <v>137</v>
      </c>
      <c r="B10" s="52"/>
      <c r="C10" s="52"/>
      <c r="D10" s="52"/>
      <c r="E10" s="52"/>
      <c r="F10" s="52"/>
      <c r="G10" s="52"/>
      <c r="H10" s="52"/>
    </row>
    <row r="11" spans="1:8" ht="22.05" customHeight="1" x14ac:dyDescent="0.3">
      <c r="A11" s="51" t="s">
        <v>138</v>
      </c>
      <c r="B11" s="52"/>
      <c r="C11" s="52"/>
      <c r="D11" s="52"/>
      <c r="E11" s="52"/>
      <c r="F11" s="52"/>
      <c r="G11" s="52"/>
      <c r="H11" s="52"/>
    </row>
    <row r="13" spans="1:8" ht="22.05" customHeight="1" x14ac:dyDescent="0.3">
      <c r="A13" s="38" t="s">
        <v>139</v>
      </c>
      <c r="B13" s="30"/>
      <c r="C13" s="30"/>
      <c r="D13" s="30"/>
      <c r="E13" s="30"/>
      <c r="F13" s="30"/>
      <c r="G13" s="30"/>
      <c r="H13" s="30"/>
    </row>
    <row r="14" spans="1:8" ht="22.05" customHeight="1" x14ac:dyDescent="0.3">
      <c r="A14" s="51" t="s">
        <v>140</v>
      </c>
      <c r="B14" s="52"/>
      <c r="C14" s="52"/>
      <c r="D14" s="52"/>
      <c r="E14" s="52"/>
      <c r="F14" s="52"/>
      <c r="G14" s="52"/>
      <c r="H14" s="52"/>
    </row>
    <row r="15" spans="1:8" ht="22.05" customHeight="1" x14ac:dyDescent="0.3">
      <c r="A15" s="51" t="s">
        <v>141</v>
      </c>
      <c r="B15" s="52"/>
      <c r="C15" s="52"/>
      <c r="D15" s="52"/>
      <c r="E15" s="52"/>
      <c r="F15" s="52"/>
      <c r="G15" s="52"/>
      <c r="H15" s="52"/>
    </row>
    <row r="16" spans="1:8" ht="22.05" customHeight="1" x14ac:dyDescent="0.3">
      <c r="A16" s="51" t="s">
        <v>142</v>
      </c>
      <c r="B16" s="52"/>
      <c r="C16" s="52"/>
      <c r="D16" s="52"/>
      <c r="E16" s="52"/>
      <c r="F16" s="52"/>
      <c r="G16" s="52"/>
      <c r="H16" s="52"/>
    </row>
    <row r="17" spans="1:8" ht="22.05" customHeight="1" x14ac:dyDescent="0.3">
      <c r="A17" s="51" t="s">
        <v>143</v>
      </c>
      <c r="B17" s="52"/>
      <c r="C17" s="52"/>
      <c r="D17" s="52"/>
      <c r="E17" s="52"/>
      <c r="F17" s="52"/>
      <c r="G17" s="52"/>
      <c r="H17" s="52"/>
    </row>
    <row r="18" spans="1:8" ht="22.05" customHeight="1" x14ac:dyDescent="0.3">
      <c r="A18" s="51" t="s">
        <v>144</v>
      </c>
      <c r="B18" s="52"/>
      <c r="C18" s="52"/>
      <c r="D18" s="52"/>
      <c r="E18" s="52"/>
      <c r="F18" s="52"/>
      <c r="G18" s="52"/>
      <c r="H18" s="52"/>
    </row>
    <row r="19" spans="1:8" ht="22.05" customHeight="1" x14ac:dyDescent="0.3">
      <c r="A19" s="51" t="s">
        <v>145</v>
      </c>
      <c r="B19" s="52"/>
      <c r="C19" s="52"/>
      <c r="D19" s="52"/>
      <c r="E19" s="52"/>
      <c r="F19" s="52"/>
      <c r="G19" s="52"/>
      <c r="H19" s="52"/>
    </row>
    <row r="21" spans="1:8" ht="22.05" customHeight="1" x14ac:dyDescent="0.3">
      <c r="A21" s="38" t="s">
        <v>146</v>
      </c>
      <c r="B21" s="30"/>
      <c r="C21" s="30"/>
      <c r="D21" s="30"/>
      <c r="E21" s="30"/>
      <c r="F21" s="30"/>
      <c r="G21" s="30"/>
      <c r="H21" s="30"/>
    </row>
    <row r="22" spans="1:8" ht="22.05" customHeight="1" x14ac:dyDescent="0.3">
      <c r="A22" s="51" t="s">
        <v>147</v>
      </c>
      <c r="B22" s="52"/>
      <c r="C22" s="52"/>
      <c r="D22" s="52"/>
      <c r="E22" s="52"/>
      <c r="F22" s="52"/>
      <c r="G22" s="52"/>
      <c r="H22" s="52"/>
    </row>
    <row r="23" spans="1:8" ht="22.05" customHeight="1" x14ac:dyDescent="0.3">
      <c r="A23" s="51" t="s">
        <v>148</v>
      </c>
      <c r="B23" s="52"/>
      <c r="C23" s="52"/>
      <c r="D23" s="52"/>
      <c r="E23" s="52"/>
      <c r="F23" s="52"/>
      <c r="G23" s="52"/>
      <c r="H23" s="52"/>
    </row>
    <row r="24" spans="1:8" ht="22.05" customHeight="1" x14ac:dyDescent="0.3">
      <c r="A24" s="51" t="s">
        <v>149</v>
      </c>
      <c r="B24" s="52"/>
      <c r="C24" s="52"/>
      <c r="D24" s="52"/>
      <c r="E24" s="52"/>
      <c r="F24" s="52"/>
      <c r="G24" s="52"/>
      <c r="H24" s="52"/>
    </row>
    <row r="25" spans="1:8" ht="22.05" customHeight="1" x14ac:dyDescent="0.3">
      <c r="A25" s="51" t="s">
        <v>150</v>
      </c>
      <c r="B25" s="52"/>
      <c r="C25" s="52"/>
      <c r="D25" s="52"/>
      <c r="E25" s="52"/>
      <c r="F25" s="52"/>
      <c r="G25" s="52"/>
      <c r="H25" s="52"/>
    </row>
    <row r="27" spans="1:8" ht="22.05" customHeight="1" x14ac:dyDescent="0.3">
      <c r="A27" s="38" t="s">
        <v>151</v>
      </c>
      <c r="B27" s="30"/>
      <c r="C27" s="30"/>
      <c r="D27" s="30"/>
      <c r="E27" s="30"/>
      <c r="F27" s="30"/>
      <c r="G27" s="30"/>
      <c r="H27" s="30"/>
    </row>
    <row r="28" spans="1:8" ht="22.05" customHeight="1" x14ac:dyDescent="0.3">
      <c r="A28" s="51" t="s">
        <v>152</v>
      </c>
      <c r="B28" s="52"/>
      <c r="C28" s="52"/>
      <c r="D28" s="52"/>
      <c r="E28" s="52"/>
      <c r="F28" s="52"/>
      <c r="G28" s="52"/>
      <c r="H28" s="52"/>
    </row>
    <row r="29" spans="1:8" ht="22.05" customHeight="1" x14ac:dyDescent="0.3">
      <c r="A29" s="51" t="s">
        <v>153</v>
      </c>
      <c r="B29" s="52"/>
      <c r="C29" s="52"/>
      <c r="D29" s="52"/>
      <c r="E29" s="52"/>
      <c r="F29" s="52"/>
      <c r="G29" s="52"/>
      <c r="H29" s="52"/>
    </row>
    <row r="30" spans="1:8" ht="22.05" customHeight="1" x14ac:dyDescent="0.3">
      <c r="A30" s="51" t="s">
        <v>154</v>
      </c>
      <c r="B30" s="52"/>
      <c r="C30" s="52"/>
      <c r="D30" s="52"/>
      <c r="E30" s="52"/>
      <c r="F30" s="52"/>
      <c r="G30" s="52"/>
      <c r="H30" s="52"/>
    </row>
    <row r="32" spans="1:8" ht="22.05" customHeight="1" x14ac:dyDescent="0.3">
      <c r="A32" s="38" t="s">
        <v>155</v>
      </c>
      <c r="B32" s="30"/>
      <c r="C32" s="30"/>
      <c r="D32" s="30"/>
      <c r="E32" s="30"/>
      <c r="F32" s="30"/>
      <c r="G32" s="30"/>
      <c r="H32" s="30"/>
    </row>
    <row r="33" spans="1:8" ht="22.05" customHeight="1" x14ac:dyDescent="0.3">
      <c r="A33" s="49" t="s">
        <v>156</v>
      </c>
      <c r="B33" s="30"/>
      <c r="C33" s="30"/>
      <c r="D33" s="30"/>
      <c r="E33" s="30"/>
      <c r="F33" s="30"/>
      <c r="G33" s="30"/>
      <c r="H33" s="30"/>
    </row>
    <row r="34" spans="1:8" ht="22.05" customHeight="1" x14ac:dyDescent="0.3">
      <c r="A34" s="50" t="s">
        <v>157</v>
      </c>
      <c r="B34" s="30"/>
      <c r="C34" s="30"/>
      <c r="D34" s="30"/>
      <c r="E34" s="30"/>
      <c r="F34" s="30"/>
      <c r="G34" s="30"/>
      <c r="H34" s="30"/>
    </row>
    <row r="35" spans="1:8" ht="22.05" customHeight="1" x14ac:dyDescent="0.3">
      <c r="A35" s="49" t="s">
        <v>158</v>
      </c>
      <c r="B35" s="30"/>
      <c r="C35" s="30"/>
      <c r="D35" s="30"/>
      <c r="E35" s="30"/>
      <c r="F35" s="30"/>
      <c r="G35" s="30"/>
      <c r="H35" s="30"/>
    </row>
    <row r="37" spans="1:8" ht="22.05" customHeight="1" x14ac:dyDescent="0.3">
      <c r="A37" s="38" t="s">
        <v>159</v>
      </c>
      <c r="B37" s="30"/>
      <c r="C37" s="30"/>
      <c r="D37" s="30"/>
      <c r="E37" s="30"/>
      <c r="F37" s="30"/>
      <c r="G37" s="30"/>
      <c r="H37" s="30"/>
    </row>
    <row r="38" spans="1:8" ht="22.05" customHeight="1" x14ac:dyDescent="0.3">
      <c r="A38" s="50" t="s">
        <v>161</v>
      </c>
      <c r="B38" s="30"/>
      <c r="C38" s="30"/>
      <c r="D38" s="30"/>
      <c r="E38" s="30"/>
      <c r="F38" s="30"/>
      <c r="G38" s="30"/>
      <c r="H38" s="30"/>
    </row>
    <row r="39" spans="1:8" ht="22.05" customHeight="1" x14ac:dyDescent="0.3">
      <c r="A39" s="49" t="s">
        <v>162</v>
      </c>
      <c r="B39" s="30"/>
      <c r="C39" s="30"/>
      <c r="D39" s="30"/>
      <c r="E39" s="30"/>
      <c r="F39" s="30"/>
      <c r="G39" s="30"/>
      <c r="H39" s="30"/>
    </row>
    <row r="40" spans="1:8" ht="22.05" customHeight="1" x14ac:dyDescent="0.3">
      <c r="A40" s="50" t="s">
        <v>163</v>
      </c>
      <c r="B40" s="30"/>
      <c r="C40" s="30"/>
      <c r="D40" s="30"/>
      <c r="E40" s="30"/>
      <c r="F40" s="30"/>
      <c r="G40" s="30"/>
      <c r="H40" s="30"/>
    </row>
    <row r="41" spans="1:8" ht="22.05" customHeight="1" x14ac:dyDescent="0.3">
      <c r="A41" s="49" t="s">
        <v>164</v>
      </c>
      <c r="B41" s="30"/>
      <c r="C41" s="30"/>
      <c r="D41" s="30"/>
      <c r="E41" s="30"/>
      <c r="F41" s="30"/>
      <c r="G41" s="30"/>
      <c r="H41" s="30"/>
    </row>
    <row r="42" spans="1:8" ht="22.05" customHeight="1" x14ac:dyDescent="0.3">
      <c r="A42" s="50" t="s">
        <v>165</v>
      </c>
      <c r="B42" s="30"/>
      <c r="C42" s="30"/>
      <c r="D42" s="30"/>
      <c r="E42" s="30"/>
      <c r="F42" s="30"/>
      <c r="G42" s="30"/>
      <c r="H42" s="30"/>
    </row>
    <row r="43" spans="1:8" ht="22.05" customHeight="1" x14ac:dyDescent="0.3">
      <c r="A43" s="49" t="s">
        <v>160</v>
      </c>
      <c r="B43" s="30"/>
      <c r="C43" s="30"/>
      <c r="D43" s="30"/>
      <c r="E43" s="30"/>
      <c r="F43" s="30"/>
      <c r="G43" s="30"/>
      <c r="H43" s="30"/>
    </row>
  </sheetData>
  <mergeCells count="37">
    <mergeCell ref="A3:H3"/>
    <mergeCell ref="A21:H21"/>
    <mergeCell ref="A1:H1"/>
    <mergeCell ref="A6:H6"/>
    <mergeCell ref="A7:H7"/>
    <mergeCell ref="A16:H16"/>
    <mergeCell ref="A2:H2"/>
    <mergeCell ref="A9:H9"/>
    <mergeCell ref="A15:H15"/>
    <mergeCell ref="A11:H11"/>
    <mergeCell ref="A5:H5"/>
    <mergeCell ref="A32:H32"/>
    <mergeCell ref="A8:H8"/>
    <mergeCell ref="A22:H22"/>
    <mergeCell ref="A17:H17"/>
    <mergeCell ref="A29:H29"/>
    <mergeCell ref="A27:H27"/>
    <mergeCell ref="A18:H18"/>
    <mergeCell ref="A25:H25"/>
    <mergeCell ref="A30:H30"/>
    <mergeCell ref="A24:H24"/>
    <mergeCell ref="A43:H43"/>
    <mergeCell ref="A38:H38"/>
    <mergeCell ref="A10:H10"/>
    <mergeCell ref="A28:H28"/>
    <mergeCell ref="A13:H13"/>
    <mergeCell ref="A19:H19"/>
    <mergeCell ref="A34:H34"/>
    <mergeCell ref="A42:H42"/>
    <mergeCell ref="A33:H33"/>
    <mergeCell ref="A14:H14"/>
    <mergeCell ref="A40:H40"/>
    <mergeCell ref="A35:H35"/>
    <mergeCell ref="A41:H41"/>
    <mergeCell ref="A37:H37"/>
    <mergeCell ref="A39:H39"/>
    <mergeCell ref="A23:H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Dataset</vt:lpstr>
      <vt:lpstr>Ejercicios</vt:lpstr>
      <vt:lpstr>Tabla dinamica</vt:lpstr>
      <vt:lpstr>GRAFICAS</vt:lpstr>
      <vt:lpstr>Prueba Power 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Placido Palacio</cp:lastModifiedBy>
  <dcterms:created xsi:type="dcterms:W3CDTF">2026-06-30T19:59:38Z</dcterms:created>
  <dcterms:modified xsi:type="dcterms:W3CDTF">2026-08-18T00:11:08Z</dcterms:modified>
</cp:coreProperties>
</file>